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Баунти\Diplom\МРиПЭ\Киссофт\"/>
    </mc:Choice>
  </mc:AlternateContent>
  <xr:revisionPtr revIDLastSave="0" documentId="13_ncr:1_{0037FE4F-46FB-4210-AE8C-624ED578940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J855" i="1"/>
  <c r="K855" i="1"/>
  <c r="J856" i="1"/>
  <c r="K856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5" i="1"/>
  <c r="K885" i="1"/>
  <c r="J886" i="1"/>
  <c r="K886" i="1"/>
  <c r="J887" i="1"/>
  <c r="K887" i="1"/>
  <c r="J888" i="1"/>
  <c r="K888" i="1"/>
  <c r="J889" i="1"/>
  <c r="K889" i="1"/>
  <c r="J890" i="1"/>
  <c r="K890" i="1"/>
  <c r="J891" i="1"/>
  <c r="K891" i="1"/>
  <c r="J892" i="1"/>
  <c r="K892" i="1"/>
  <c r="J893" i="1"/>
  <c r="K893" i="1"/>
  <c r="J894" i="1"/>
  <c r="K894" i="1"/>
  <c r="J895" i="1"/>
  <c r="K895" i="1"/>
  <c r="J896" i="1"/>
  <c r="K896" i="1"/>
  <c r="J897" i="1"/>
  <c r="K897" i="1"/>
  <c r="J898" i="1"/>
  <c r="K898" i="1"/>
  <c r="J899" i="1"/>
  <c r="K899" i="1"/>
  <c r="J900" i="1"/>
  <c r="K900" i="1"/>
  <c r="J901" i="1"/>
  <c r="K901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5" i="1"/>
  <c r="K915" i="1"/>
  <c r="J916" i="1"/>
  <c r="K916" i="1"/>
  <c r="J917" i="1"/>
  <c r="K917" i="1"/>
  <c r="J918" i="1"/>
  <c r="K918" i="1"/>
  <c r="J919" i="1"/>
  <c r="K919" i="1"/>
  <c r="J920" i="1"/>
  <c r="K920" i="1"/>
  <c r="J921" i="1"/>
  <c r="K921" i="1"/>
  <c r="J922" i="1"/>
  <c r="K922" i="1"/>
  <c r="J923" i="1"/>
  <c r="K923" i="1"/>
  <c r="J924" i="1"/>
  <c r="K924" i="1"/>
  <c r="J925" i="1"/>
  <c r="K925" i="1"/>
  <c r="J926" i="1"/>
  <c r="K926" i="1"/>
  <c r="J927" i="1"/>
  <c r="K927" i="1"/>
  <c r="J928" i="1"/>
  <c r="K928" i="1"/>
  <c r="J929" i="1"/>
  <c r="K929" i="1"/>
  <c r="J930" i="1"/>
  <c r="K930" i="1"/>
  <c r="J931" i="1"/>
  <c r="K931" i="1"/>
  <c r="J932" i="1"/>
  <c r="K932" i="1"/>
  <c r="J933" i="1"/>
  <c r="K933" i="1"/>
  <c r="J934" i="1"/>
  <c r="K934" i="1"/>
  <c r="J935" i="1"/>
  <c r="K935" i="1"/>
  <c r="J936" i="1"/>
  <c r="K936" i="1"/>
  <c r="J937" i="1"/>
  <c r="K937" i="1"/>
  <c r="J938" i="1"/>
  <c r="K938" i="1"/>
  <c r="J939" i="1"/>
  <c r="K939" i="1"/>
  <c r="J940" i="1"/>
  <c r="K940" i="1"/>
  <c r="J941" i="1"/>
  <c r="K941" i="1"/>
  <c r="J942" i="1"/>
  <c r="K942" i="1"/>
  <c r="J943" i="1"/>
  <c r="K943" i="1"/>
  <c r="J944" i="1"/>
  <c r="K944" i="1"/>
  <c r="J945" i="1"/>
  <c r="K945" i="1"/>
  <c r="J946" i="1"/>
  <c r="K946" i="1"/>
  <c r="J947" i="1"/>
  <c r="K947" i="1"/>
  <c r="J948" i="1"/>
  <c r="K948" i="1"/>
  <c r="J949" i="1"/>
  <c r="K949" i="1"/>
  <c r="J950" i="1"/>
  <c r="K950" i="1"/>
  <c r="J951" i="1"/>
  <c r="K951" i="1"/>
  <c r="J952" i="1"/>
  <c r="K952" i="1"/>
  <c r="J953" i="1"/>
  <c r="K953" i="1"/>
  <c r="J954" i="1"/>
  <c r="K954" i="1"/>
  <c r="J955" i="1"/>
  <c r="K955" i="1"/>
  <c r="J956" i="1"/>
  <c r="K956" i="1"/>
  <c r="J957" i="1"/>
  <c r="K957" i="1"/>
  <c r="J958" i="1"/>
  <c r="K958" i="1"/>
  <c r="J959" i="1"/>
  <c r="K959" i="1"/>
  <c r="J960" i="1"/>
  <c r="K960" i="1"/>
  <c r="J961" i="1"/>
  <c r="K961" i="1"/>
  <c r="J962" i="1"/>
  <c r="K962" i="1"/>
  <c r="J963" i="1"/>
  <c r="K963" i="1"/>
  <c r="J964" i="1"/>
  <c r="K964" i="1"/>
  <c r="J965" i="1"/>
  <c r="K965" i="1"/>
  <c r="J966" i="1"/>
  <c r="K966" i="1"/>
  <c r="J967" i="1"/>
  <c r="K967" i="1"/>
  <c r="J968" i="1"/>
  <c r="K968" i="1"/>
  <c r="J969" i="1"/>
  <c r="K969" i="1"/>
  <c r="J970" i="1"/>
  <c r="K970" i="1"/>
  <c r="J971" i="1"/>
  <c r="K971" i="1"/>
  <c r="J972" i="1"/>
  <c r="K972" i="1"/>
  <c r="J973" i="1"/>
  <c r="K973" i="1"/>
  <c r="J974" i="1"/>
  <c r="K974" i="1"/>
  <c r="J975" i="1"/>
  <c r="K975" i="1"/>
  <c r="J976" i="1"/>
  <c r="K976" i="1"/>
  <c r="J977" i="1"/>
  <c r="K977" i="1"/>
  <c r="J978" i="1"/>
  <c r="K978" i="1"/>
  <c r="J979" i="1"/>
  <c r="K979" i="1"/>
  <c r="J980" i="1"/>
  <c r="K980" i="1"/>
  <c r="J981" i="1"/>
  <c r="K981" i="1"/>
  <c r="J982" i="1"/>
  <c r="K982" i="1"/>
  <c r="J983" i="1"/>
  <c r="K983" i="1"/>
  <c r="J984" i="1"/>
  <c r="K984" i="1"/>
  <c r="J985" i="1"/>
  <c r="K985" i="1"/>
  <c r="J986" i="1"/>
  <c r="K986" i="1"/>
  <c r="J987" i="1"/>
  <c r="K987" i="1"/>
  <c r="J988" i="1"/>
  <c r="K988" i="1"/>
  <c r="J989" i="1"/>
  <c r="K989" i="1"/>
  <c r="J990" i="1"/>
  <c r="K990" i="1"/>
  <c r="J991" i="1"/>
  <c r="K991" i="1"/>
  <c r="J992" i="1"/>
  <c r="K992" i="1"/>
  <c r="J993" i="1"/>
  <c r="K993" i="1"/>
  <c r="J994" i="1"/>
  <c r="K994" i="1"/>
  <c r="J995" i="1"/>
  <c r="K995" i="1"/>
  <c r="J996" i="1"/>
  <c r="K996" i="1"/>
  <c r="J997" i="1"/>
  <c r="K997" i="1"/>
  <c r="J998" i="1"/>
  <c r="K998" i="1"/>
  <c r="J999" i="1"/>
  <c r="K999" i="1"/>
  <c r="J1000" i="1"/>
  <c r="K1000" i="1"/>
  <c r="J1001" i="1"/>
  <c r="K1001" i="1"/>
  <c r="J1002" i="1"/>
  <c r="K1002" i="1"/>
  <c r="J1003" i="1"/>
  <c r="K1003" i="1"/>
  <c r="J1004" i="1"/>
  <c r="K1004" i="1"/>
  <c r="J1005" i="1"/>
  <c r="K1005" i="1"/>
  <c r="J1006" i="1"/>
  <c r="K1006" i="1"/>
  <c r="J1007" i="1"/>
  <c r="K1007" i="1"/>
  <c r="J1008" i="1"/>
  <c r="K1008" i="1"/>
  <c r="J1009" i="1"/>
  <c r="K1009" i="1"/>
  <c r="J1010" i="1"/>
  <c r="K1010" i="1"/>
  <c r="J1011" i="1"/>
  <c r="K1011" i="1"/>
  <c r="J1012" i="1"/>
  <c r="K1012" i="1"/>
  <c r="J1013" i="1"/>
  <c r="K1013" i="1"/>
  <c r="J1014" i="1"/>
  <c r="K1014" i="1"/>
  <c r="J1015" i="1"/>
  <c r="K1015" i="1"/>
  <c r="J1016" i="1"/>
  <c r="K1016" i="1"/>
  <c r="J1017" i="1"/>
  <c r="K1017" i="1"/>
  <c r="J1018" i="1"/>
  <c r="K1018" i="1"/>
  <c r="J1019" i="1"/>
  <c r="K1019" i="1"/>
  <c r="J1020" i="1"/>
  <c r="K1020" i="1"/>
  <c r="J1021" i="1"/>
  <c r="K1021" i="1"/>
  <c r="J1022" i="1"/>
  <c r="K1022" i="1"/>
  <c r="J1023" i="1"/>
  <c r="K1023" i="1"/>
  <c r="J1024" i="1"/>
  <c r="K1024" i="1"/>
  <c r="J1025" i="1"/>
  <c r="K1025" i="1"/>
  <c r="J1026" i="1"/>
  <c r="K1026" i="1"/>
  <c r="J1027" i="1"/>
  <c r="K1027" i="1"/>
  <c r="J1028" i="1"/>
  <c r="K1028" i="1"/>
  <c r="J1029" i="1"/>
  <c r="K1029" i="1"/>
  <c r="J1030" i="1"/>
  <c r="K1030" i="1"/>
  <c r="J1031" i="1"/>
  <c r="K1031" i="1"/>
  <c r="J1032" i="1"/>
  <c r="K1032" i="1"/>
  <c r="J1033" i="1"/>
  <c r="K1033" i="1"/>
  <c r="J1034" i="1"/>
  <c r="K1034" i="1"/>
  <c r="J1035" i="1"/>
  <c r="K1035" i="1"/>
  <c r="J1036" i="1"/>
  <c r="K1036" i="1"/>
  <c r="J1037" i="1"/>
  <c r="K1037" i="1"/>
  <c r="J1038" i="1"/>
  <c r="K1038" i="1"/>
  <c r="J1039" i="1"/>
  <c r="K1039" i="1"/>
  <c r="J1040" i="1"/>
  <c r="K1040" i="1"/>
  <c r="J1041" i="1"/>
  <c r="K1041" i="1"/>
  <c r="J1042" i="1"/>
  <c r="K1042" i="1"/>
  <c r="J1043" i="1"/>
  <c r="K1043" i="1"/>
  <c r="J1044" i="1"/>
  <c r="K1044" i="1"/>
  <c r="J1045" i="1"/>
  <c r="K1045" i="1"/>
  <c r="J1046" i="1"/>
  <c r="K1046" i="1"/>
  <c r="J1047" i="1"/>
  <c r="K1047" i="1"/>
  <c r="J1048" i="1"/>
  <c r="K1048" i="1"/>
  <c r="J1049" i="1"/>
  <c r="K1049" i="1"/>
  <c r="J1050" i="1"/>
  <c r="K1050" i="1"/>
  <c r="J1051" i="1"/>
  <c r="K1051" i="1"/>
  <c r="J1052" i="1"/>
  <c r="K1052" i="1"/>
  <c r="J1053" i="1"/>
  <c r="K1053" i="1"/>
  <c r="J1054" i="1"/>
  <c r="K1054" i="1"/>
  <c r="J1055" i="1"/>
  <c r="K1055" i="1"/>
  <c r="J1056" i="1"/>
  <c r="K1056" i="1"/>
  <c r="J1057" i="1"/>
  <c r="K1057" i="1"/>
  <c r="J1058" i="1"/>
  <c r="K1058" i="1"/>
  <c r="J1059" i="1"/>
  <c r="K1059" i="1"/>
  <c r="J1060" i="1"/>
  <c r="K1060" i="1"/>
  <c r="J1061" i="1"/>
  <c r="K1061" i="1"/>
  <c r="J1062" i="1"/>
  <c r="K1062" i="1"/>
  <c r="J1063" i="1"/>
  <c r="K1063" i="1"/>
  <c r="J1064" i="1"/>
  <c r="K1064" i="1"/>
  <c r="J1065" i="1"/>
  <c r="K1065" i="1"/>
  <c r="J1066" i="1"/>
  <c r="K1066" i="1"/>
  <c r="J1067" i="1"/>
  <c r="K1067" i="1"/>
  <c r="J1068" i="1"/>
  <c r="K1068" i="1"/>
  <c r="J1069" i="1"/>
  <c r="K1069" i="1"/>
  <c r="J1070" i="1"/>
  <c r="K1070" i="1"/>
  <c r="J1071" i="1"/>
  <c r="K1071" i="1"/>
  <c r="J1072" i="1"/>
  <c r="K1072" i="1"/>
  <c r="J1073" i="1"/>
  <c r="K1073" i="1"/>
  <c r="J1074" i="1"/>
  <c r="K1074" i="1"/>
  <c r="J1075" i="1"/>
  <c r="K1075" i="1"/>
  <c r="J1076" i="1"/>
  <c r="K1076" i="1"/>
  <c r="J1077" i="1"/>
  <c r="K1077" i="1"/>
  <c r="J1078" i="1"/>
  <c r="K1078" i="1"/>
  <c r="J1079" i="1"/>
  <c r="K1079" i="1"/>
  <c r="J1080" i="1"/>
  <c r="K1080" i="1"/>
  <c r="J1081" i="1"/>
  <c r="K1081" i="1"/>
  <c r="J1082" i="1"/>
  <c r="K1082" i="1"/>
  <c r="J1083" i="1"/>
  <c r="K1083" i="1"/>
  <c r="J1084" i="1"/>
  <c r="K1084" i="1"/>
  <c r="J1085" i="1"/>
  <c r="K1085" i="1"/>
  <c r="J1086" i="1"/>
  <c r="K1086" i="1"/>
  <c r="J1087" i="1"/>
  <c r="K1087" i="1"/>
  <c r="J1088" i="1"/>
  <c r="K1088" i="1"/>
  <c r="J1089" i="1"/>
  <c r="K1089" i="1"/>
  <c r="J1090" i="1"/>
  <c r="K1090" i="1"/>
  <c r="J1091" i="1"/>
  <c r="K1091" i="1"/>
  <c r="J1092" i="1"/>
  <c r="K1092" i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/>
  <c r="J1099" i="1"/>
  <c r="K1099" i="1"/>
  <c r="J1100" i="1"/>
  <c r="K1100" i="1"/>
  <c r="J1101" i="1"/>
  <c r="K1101" i="1"/>
  <c r="J1102" i="1"/>
  <c r="K1102" i="1"/>
  <c r="J1103" i="1"/>
  <c r="K1103" i="1"/>
  <c r="J1104" i="1"/>
  <c r="K1104" i="1"/>
  <c r="J1105" i="1"/>
  <c r="K1105" i="1"/>
  <c r="J1106" i="1"/>
  <c r="K1106" i="1"/>
  <c r="J1107" i="1"/>
  <c r="K1107" i="1"/>
  <c r="J1108" i="1"/>
  <c r="K1108" i="1"/>
  <c r="J1109" i="1"/>
  <c r="K1109" i="1"/>
  <c r="J1110" i="1"/>
  <c r="K1110" i="1"/>
  <c r="J1111" i="1"/>
  <c r="K1111" i="1"/>
  <c r="J1112" i="1"/>
  <c r="K1112" i="1"/>
  <c r="J1113" i="1"/>
  <c r="K1113" i="1"/>
  <c r="J1114" i="1"/>
  <c r="K1114" i="1"/>
  <c r="J1115" i="1"/>
  <c r="K1115" i="1"/>
  <c r="J1116" i="1"/>
  <c r="K1116" i="1"/>
  <c r="J1117" i="1"/>
  <c r="K1117" i="1"/>
  <c r="J1118" i="1"/>
  <c r="K1118" i="1"/>
  <c r="J1119" i="1"/>
  <c r="K1119" i="1"/>
  <c r="J1120" i="1"/>
  <c r="K1120" i="1"/>
  <c r="J1121" i="1"/>
  <c r="K1121" i="1"/>
  <c r="J1122" i="1"/>
  <c r="K1122" i="1"/>
  <c r="J1123" i="1"/>
  <c r="K1123" i="1"/>
  <c r="J1124" i="1"/>
  <c r="K1124" i="1"/>
  <c r="J1125" i="1"/>
  <c r="K1125" i="1"/>
  <c r="J1126" i="1"/>
  <c r="K1126" i="1"/>
  <c r="J1127" i="1"/>
  <c r="K1127" i="1"/>
  <c r="J1128" i="1"/>
  <c r="K1128" i="1"/>
  <c r="J1129" i="1"/>
  <c r="K1129" i="1"/>
  <c r="J1130" i="1"/>
  <c r="K1130" i="1"/>
  <c r="J1131" i="1"/>
  <c r="K1131" i="1"/>
  <c r="J1132" i="1"/>
  <c r="K1132" i="1"/>
  <c r="J1133" i="1"/>
  <c r="K1133" i="1"/>
  <c r="J1134" i="1"/>
  <c r="K1134" i="1"/>
  <c r="J1135" i="1"/>
  <c r="K1135" i="1"/>
  <c r="J1136" i="1"/>
  <c r="K1136" i="1"/>
  <c r="J1137" i="1"/>
  <c r="K1137" i="1"/>
  <c r="J1138" i="1"/>
  <c r="K1138" i="1"/>
  <c r="J1139" i="1"/>
  <c r="K1139" i="1"/>
  <c r="J1140" i="1"/>
  <c r="K1140" i="1"/>
  <c r="J1141" i="1"/>
  <c r="K1141" i="1"/>
  <c r="J1142" i="1"/>
  <c r="K1142" i="1"/>
  <c r="J1143" i="1"/>
  <c r="K1143" i="1"/>
  <c r="J1144" i="1"/>
  <c r="K1144" i="1"/>
  <c r="J1145" i="1"/>
  <c r="K1145" i="1"/>
  <c r="J1146" i="1"/>
  <c r="K1146" i="1"/>
  <c r="J1147" i="1"/>
  <c r="K1147" i="1"/>
  <c r="J1148" i="1"/>
  <c r="K1148" i="1"/>
  <c r="J1149" i="1"/>
  <c r="K1149" i="1"/>
  <c r="J1150" i="1"/>
  <c r="K1150" i="1"/>
  <c r="J1151" i="1"/>
  <c r="K1151" i="1"/>
  <c r="J1152" i="1"/>
  <c r="K1152" i="1"/>
  <c r="J1153" i="1"/>
  <c r="K1153" i="1"/>
  <c r="J1154" i="1"/>
  <c r="K1154" i="1"/>
  <c r="J1155" i="1"/>
  <c r="K1155" i="1"/>
  <c r="J1156" i="1"/>
  <c r="K1156" i="1"/>
  <c r="J1157" i="1"/>
  <c r="K1157" i="1"/>
  <c r="J1158" i="1"/>
  <c r="K1158" i="1"/>
  <c r="J1159" i="1"/>
  <c r="K1159" i="1"/>
  <c r="J1160" i="1"/>
  <c r="K1160" i="1"/>
  <c r="J1161" i="1"/>
  <c r="K1161" i="1"/>
  <c r="J1162" i="1"/>
  <c r="K1162" i="1"/>
  <c r="J1163" i="1"/>
  <c r="K1163" i="1"/>
  <c r="J1164" i="1"/>
  <c r="K1164" i="1"/>
  <c r="J1165" i="1"/>
  <c r="K1165" i="1"/>
  <c r="J1166" i="1"/>
  <c r="K1166" i="1"/>
  <c r="J1167" i="1"/>
  <c r="K1167" i="1"/>
  <c r="J1168" i="1"/>
  <c r="K1168" i="1"/>
  <c r="J1169" i="1"/>
  <c r="K1169" i="1"/>
  <c r="J1170" i="1"/>
  <c r="K1170" i="1"/>
  <c r="J1171" i="1"/>
  <c r="K1171" i="1"/>
  <c r="J1172" i="1"/>
  <c r="K1172" i="1"/>
  <c r="J1173" i="1"/>
  <c r="K1173" i="1"/>
  <c r="J1174" i="1"/>
  <c r="K1174" i="1"/>
  <c r="J1175" i="1"/>
  <c r="K1175" i="1"/>
  <c r="J1176" i="1"/>
  <c r="K1176" i="1"/>
  <c r="J1177" i="1"/>
  <c r="K1177" i="1"/>
  <c r="J1178" i="1"/>
  <c r="K1178" i="1"/>
  <c r="J1179" i="1"/>
  <c r="K1179" i="1"/>
  <c r="J1180" i="1"/>
  <c r="K1180" i="1"/>
  <c r="J1181" i="1"/>
  <c r="K1181" i="1"/>
  <c r="J1182" i="1"/>
  <c r="K1182" i="1"/>
  <c r="J1183" i="1"/>
  <c r="K1183" i="1"/>
  <c r="J1184" i="1"/>
  <c r="K1184" i="1"/>
  <c r="J1185" i="1"/>
  <c r="K1185" i="1"/>
  <c r="J1186" i="1"/>
  <c r="K1186" i="1"/>
  <c r="J1187" i="1"/>
  <c r="K1187" i="1"/>
  <c r="J1188" i="1"/>
  <c r="K1188" i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/>
  <c r="J1195" i="1"/>
  <c r="K1195" i="1"/>
  <c r="J1196" i="1"/>
  <c r="K1196" i="1"/>
  <c r="J1197" i="1"/>
  <c r="K1197" i="1"/>
  <c r="J1198" i="1"/>
  <c r="K1198" i="1"/>
  <c r="J1199" i="1"/>
  <c r="K1199" i="1"/>
  <c r="J1200" i="1"/>
  <c r="K1200" i="1"/>
  <c r="J1201" i="1"/>
  <c r="K1201" i="1"/>
  <c r="J1202" i="1"/>
  <c r="K1202" i="1"/>
  <c r="J1203" i="1"/>
  <c r="K1203" i="1"/>
  <c r="J1204" i="1"/>
  <c r="K1204" i="1"/>
  <c r="J1205" i="1"/>
  <c r="K1205" i="1"/>
  <c r="J1206" i="1"/>
  <c r="K1206" i="1"/>
  <c r="J1207" i="1"/>
  <c r="K1207" i="1"/>
  <c r="J1208" i="1"/>
  <c r="K1208" i="1"/>
  <c r="J1209" i="1"/>
  <c r="K1209" i="1"/>
  <c r="J1210" i="1"/>
  <c r="K1210" i="1"/>
  <c r="J1211" i="1"/>
  <c r="K1211" i="1"/>
  <c r="J1212" i="1"/>
  <c r="K1212" i="1"/>
  <c r="J1213" i="1"/>
  <c r="K1213" i="1"/>
  <c r="J1214" i="1"/>
  <c r="K1214" i="1"/>
  <c r="J1215" i="1"/>
  <c r="K1215" i="1"/>
  <c r="J1216" i="1"/>
  <c r="K1216" i="1"/>
  <c r="J1217" i="1"/>
  <c r="K1217" i="1"/>
  <c r="J1218" i="1"/>
  <c r="K1218" i="1"/>
  <c r="J1219" i="1"/>
  <c r="K1219" i="1"/>
  <c r="J1220" i="1"/>
  <c r="K1220" i="1"/>
  <c r="J1221" i="1"/>
  <c r="K1221" i="1"/>
  <c r="J1222" i="1"/>
  <c r="K1222" i="1"/>
  <c r="J1223" i="1"/>
  <c r="K1223" i="1"/>
  <c r="J1224" i="1"/>
  <c r="K1224" i="1"/>
  <c r="J1225" i="1"/>
  <c r="K1225" i="1"/>
  <c r="J1226" i="1"/>
  <c r="K1226" i="1"/>
  <c r="J1227" i="1"/>
  <c r="K1227" i="1"/>
  <c r="J1228" i="1"/>
  <c r="K1228" i="1"/>
  <c r="J1229" i="1"/>
  <c r="K1229" i="1"/>
  <c r="J1230" i="1"/>
  <c r="K1230" i="1"/>
  <c r="J1231" i="1"/>
  <c r="K1231" i="1"/>
  <c r="J1232" i="1"/>
  <c r="K1232" i="1"/>
  <c r="J1233" i="1"/>
  <c r="K1233" i="1"/>
  <c r="J1234" i="1"/>
  <c r="K1234" i="1"/>
  <c r="J1235" i="1"/>
  <c r="K1235" i="1"/>
  <c r="J1236" i="1"/>
  <c r="K1236" i="1"/>
  <c r="J1237" i="1"/>
  <c r="K1237" i="1"/>
  <c r="J1238" i="1"/>
  <c r="K1238" i="1"/>
  <c r="J1239" i="1"/>
  <c r="K1239" i="1"/>
  <c r="J1240" i="1"/>
  <c r="K1240" i="1"/>
  <c r="J1241" i="1"/>
  <c r="K1241" i="1"/>
  <c r="J1242" i="1"/>
  <c r="K1242" i="1"/>
  <c r="J1243" i="1"/>
  <c r="K1243" i="1"/>
  <c r="J1244" i="1"/>
  <c r="K1244" i="1"/>
  <c r="J1245" i="1"/>
  <c r="K1245" i="1"/>
  <c r="J1246" i="1"/>
  <c r="K1246" i="1"/>
  <c r="J1247" i="1"/>
  <c r="K1247" i="1"/>
  <c r="J1248" i="1"/>
  <c r="K1248" i="1"/>
  <c r="J1249" i="1"/>
  <c r="K1249" i="1"/>
  <c r="J1250" i="1"/>
  <c r="K1250" i="1"/>
  <c r="J1251" i="1"/>
  <c r="K1251" i="1"/>
  <c r="J1252" i="1"/>
  <c r="K1252" i="1"/>
  <c r="J1253" i="1"/>
  <c r="K1253" i="1"/>
  <c r="J1254" i="1"/>
  <c r="K1254" i="1"/>
  <c r="J1255" i="1"/>
  <c r="K1255" i="1"/>
  <c r="J1256" i="1"/>
  <c r="K1256" i="1"/>
  <c r="J1257" i="1"/>
  <c r="K1257" i="1"/>
  <c r="J1258" i="1"/>
  <c r="K1258" i="1"/>
  <c r="J1259" i="1"/>
  <c r="K1259" i="1"/>
  <c r="J1260" i="1"/>
  <c r="K1260" i="1"/>
  <c r="J1261" i="1"/>
  <c r="K1261" i="1"/>
  <c r="J1262" i="1"/>
  <c r="K1262" i="1"/>
  <c r="J1263" i="1"/>
  <c r="K1263" i="1"/>
  <c r="J1264" i="1"/>
  <c r="K1264" i="1"/>
  <c r="J1265" i="1"/>
  <c r="K1265" i="1"/>
  <c r="J1266" i="1"/>
  <c r="K1266" i="1"/>
  <c r="J1267" i="1"/>
  <c r="K1267" i="1"/>
  <c r="J1268" i="1"/>
  <c r="K1268" i="1"/>
  <c r="J1269" i="1"/>
  <c r="K1269" i="1"/>
  <c r="J1270" i="1"/>
  <c r="K1270" i="1"/>
  <c r="J1271" i="1"/>
  <c r="K1271" i="1"/>
  <c r="J1272" i="1"/>
  <c r="K1272" i="1"/>
  <c r="J1273" i="1"/>
  <c r="K1273" i="1"/>
  <c r="J1274" i="1"/>
  <c r="K1274" i="1"/>
  <c r="J1275" i="1"/>
  <c r="K1275" i="1"/>
  <c r="J1276" i="1"/>
  <c r="K1276" i="1"/>
  <c r="J1277" i="1"/>
  <c r="K1277" i="1"/>
  <c r="J1278" i="1"/>
  <c r="K1278" i="1"/>
  <c r="J1279" i="1"/>
  <c r="K1279" i="1"/>
  <c r="J1280" i="1"/>
  <c r="K1280" i="1"/>
  <c r="J1281" i="1"/>
  <c r="K1281" i="1"/>
  <c r="J1282" i="1"/>
  <c r="K1282" i="1"/>
  <c r="J1283" i="1"/>
  <c r="K1283" i="1"/>
  <c r="J1284" i="1"/>
  <c r="K1284" i="1"/>
  <c r="J1285" i="1"/>
  <c r="K1285" i="1"/>
  <c r="J1286" i="1"/>
  <c r="K1286" i="1"/>
  <c r="J1287" i="1"/>
  <c r="K1287" i="1"/>
  <c r="J1288" i="1"/>
  <c r="K1288" i="1"/>
  <c r="J1289" i="1"/>
  <c r="K1289" i="1"/>
  <c r="J1290" i="1"/>
  <c r="K1290" i="1"/>
  <c r="J1291" i="1"/>
  <c r="K1291" i="1"/>
  <c r="J1292" i="1"/>
  <c r="K1292" i="1"/>
  <c r="J1293" i="1"/>
  <c r="K1293" i="1"/>
  <c r="J1294" i="1"/>
  <c r="K1294" i="1"/>
  <c r="J1295" i="1"/>
  <c r="K1295" i="1"/>
  <c r="J1296" i="1"/>
  <c r="K1296" i="1"/>
  <c r="J1297" i="1"/>
  <c r="K1297" i="1"/>
  <c r="J1298" i="1"/>
  <c r="K1298" i="1"/>
  <c r="J1299" i="1"/>
  <c r="K1299" i="1"/>
  <c r="J1300" i="1"/>
  <c r="K1300" i="1"/>
  <c r="J1301" i="1"/>
  <c r="K1301" i="1"/>
  <c r="J1302" i="1"/>
  <c r="K1302" i="1"/>
  <c r="J1303" i="1"/>
  <c r="K1303" i="1"/>
  <c r="J1304" i="1"/>
  <c r="K1304" i="1"/>
  <c r="J1305" i="1"/>
  <c r="K1305" i="1"/>
  <c r="J1306" i="1"/>
  <c r="K1306" i="1"/>
  <c r="J1307" i="1"/>
  <c r="K1307" i="1"/>
  <c r="J1308" i="1"/>
  <c r="K1308" i="1"/>
  <c r="J1309" i="1"/>
  <c r="K1309" i="1"/>
  <c r="J1310" i="1"/>
  <c r="K1310" i="1"/>
  <c r="J1311" i="1"/>
  <c r="K1311" i="1"/>
  <c r="J1312" i="1"/>
  <c r="K1312" i="1"/>
  <c r="J1313" i="1"/>
  <c r="K1313" i="1"/>
  <c r="J1314" i="1"/>
  <c r="K1314" i="1"/>
  <c r="J1315" i="1"/>
  <c r="K1315" i="1"/>
  <c r="J1316" i="1"/>
  <c r="K1316" i="1"/>
  <c r="J1317" i="1"/>
  <c r="K1317" i="1"/>
  <c r="J1318" i="1"/>
  <c r="K1318" i="1"/>
  <c r="J1319" i="1"/>
  <c r="K1319" i="1"/>
  <c r="J1320" i="1"/>
  <c r="K1320" i="1"/>
  <c r="J1321" i="1"/>
  <c r="K1321" i="1"/>
  <c r="J1322" i="1"/>
  <c r="K1322" i="1"/>
  <c r="J1323" i="1"/>
  <c r="K1323" i="1"/>
  <c r="J1324" i="1"/>
  <c r="K1324" i="1"/>
  <c r="J1325" i="1"/>
  <c r="K1325" i="1"/>
  <c r="J1326" i="1"/>
  <c r="K1326" i="1"/>
  <c r="J1327" i="1"/>
  <c r="K1327" i="1"/>
  <c r="J1328" i="1"/>
  <c r="K1328" i="1"/>
  <c r="J1329" i="1"/>
  <c r="K1329" i="1"/>
  <c r="J1330" i="1"/>
  <c r="K1330" i="1"/>
  <c r="J1331" i="1"/>
  <c r="K1331" i="1"/>
  <c r="J1332" i="1"/>
  <c r="K1332" i="1"/>
  <c r="J1333" i="1"/>
  <c r="K1333" i="1"/>
  <c r="J1334" i="1"/>
  <c r="K1334" i="1"/>
  <c r="J1335" i="1"/>
  <c r="K1335" i="1"/>
  <c r="J1336" i="1"/>
  <c r="K1336" i="1"/>
  <c r="J1337" i="1"/>
  <c r="K1337" i="1"/>
  <c r="J1338" i="1"/>
  <c r="K1338" i="1"/>
  <c r="J1339" i="1"/>
  <c r="K1339" i="1"/>
  <c r="J1340" i="1"/>
  <c r="K1340" i="1"/>
  <c r="J1341" i="1"/>
  <c r="K1341" i="1"/>
  <c r="J1342" i="1"/>
  <c r="K1342" i="1"/>
  <c r="J1343" i="1"/>
  <c r="K1343" i="1"/>
  <c r="J1344" i="1"/>
  <c r="K1344" i="1"/>
  <c r="J1345" i="1"/>
  <c r="K1345" i="1"/>
  <c r="J1346" i="1"/>
  <c r="K1346" i="1"/>
  <c r="J1347" i="1"/>
  <c r="K1347" i="1"/>
  <c r="J1348" i="1"/>
  <c r="K1348" i="1"/>
  <c r="J1349" i="1"/>
  <c r="K1349" i="1"/>
  <c r="J1350" i="1"/>
  <c r="K1350" i="1"/>
  <c r="J1351" i="1"/>
  <c r="K1351" i="1"/>
  <c r="J1352" i="1"/>
  <c r="K1352" i="1"/>
  <c r="J1353" i="1"/>
  <c r="K1353" i="1"/>
  <c r="J1354" i="1"/>
  <c r="K1354" i="1"/>
  <c r="J1355" i="1"/>
  <c r="K1355" i="1"/>
  <c r="J1356" i="1"/>
  <c r="K1356" i="1"/>
  <c r="J1357" i="1"/>
  <c r="K1357" i="1"/>
  <c r="J1358" i="1"/>
  <c r="K1358" i="1"/>
  <c r="J1359" i="1"/>
  <c r="K1359" i="1"/>
  <c r="J1360" i="1"/>
  <c r="K1360" i="1"/>
  <c r="J1361" i="1"/>
  <c r="K1361" i="1"/>
  <c r="J1362" i="1"/>
  <c r="K1362" i="1"/>
  <c r="J1363" i="1"/>
  <c r="K1363" i="1"/>
  <c r="J1364" i="1"/>
  <c r="K1364" i="1"/>
  <c r="J1365" i="1"/>
  <c r="K1365" i="1"/>
  <c r="J1366" i="1"/>
  <c r="K1366" i="1"/>
  <c r="J1367" i="1"/>
  <c r="K1367" i="1"/>
  <c r="J1368" i="1"/>
  <c r="K1368" i="1"/>
  <c r="J1369" i="1"/>
  <c r="K1369" i="1"/>
  <c r="J1370" i="1"/>
  <c r="K1370" i="1"/>
  <c r="J1371" i="1"/>
  <c r="K1371" i="1"/>
  <c r="J1372" i="1"/>
  <c r="K1372" i="1"/>
  <c r="J1373" i="1"/>
  <c r="K1373" i="1"/>
  <c r="J1374" i="1"/>
  <c r="K1374" i="1"/>
  <c r="J1375" i="1"/>
  <c r="K1375" i="1"/>
  <c r="J1376" i="1"/>
  <c r="K1376" i="1"/>
  <c r="J1377" i="1"/>
  <c r="K1377" i="1"/>
  <c r="J1378" i="1"/>
  <c r="K1378" i="1"/>
  <c r="J1379" i="1"/>
  <c r="K1379" i="1"/>
  <c r="J1380" i="1"/>
  <c r="K1380" i="1"/>
  <c r="J1381" i="1"/>
  <c r="K1381" i="1"/>
  <c r="J1382" i="1"/>
  <c r="K1382" i="1"/>
  <c r="J1383" i="1"/>
  <c r="K1383" i="1"/>
  <c r="J1384" i="1"/>
  <c r="K1384" i="1"/>
  <c r="J1385" i="1"/>
  <c r="K1385" i="1"/>
  <c r="J1386" i="1"/>
  <c r="K1386" i="1"/>
  <c r="J1387" i="1"/>
  <c r="K1387" i="1"/>
  <c r="J1388" i="1"/>
  <c r="K1388" i="1"/>
  <c r="J1389" i="1"/>
  <c r="K1389" i="1"/>
  <c r="J1390" i="1"/>
  <c r="K1390" i="1"/>
  <c r="J1391" i="1"/>
  <c r="K1391" i="1"/>
  <c r="J1392" i="1"/>
  <c r="K1392" i="1"/>
  <c r="J1393" i="1"/>
  <c r="K1393" i="1"/>
  <c r="J1394" i="1"/>
  <c r="K1394" i="1"/>
  <c r="J1395" i="1"/>
  <c r="K1395" i="1"/>
  <c r="J1396" i="1"/>
  <c r="K1396" i="1"/>
  <c r="J1397" i="1"/>
  <c r="K1397" i="1"/>
  <c r="J1398" i="1"/>
  <c r="K1398" i="1"/>
  <c r="J1399" i="1"/>
  <c r="K1399" i="1"/>
  <c r="J1400" i="1"/>
  <c r="K1400" i="1"/>
  <c r="J1401" i="1"/>
  <c r="K1401" i="1"/>
  <c r="J1402" i="1"/>
  <c r="K1402" i="1"/>
  <c r="J1403" i="1"/>
  <c r="K1403" i="1"/>
  <c r="J1404" i="1"/>
  <c r="K1404" i="1"/>
  <c r="J1405" i="1"/>
  <c r="K1405" i="1"/>
  <c r="J1406" i="1"/>
  <c r="K1406" i="1"/>
  <c r="J1407" i="1"/>
  <c r="K1407" i="1"/>
  <c r="J1408" i="1"/>
  <c r="K1408" i="1"/>
  <c r="J1409" i="1"/>
  <c r="K1409" i="1"/>
  <c r="J1410" i="1"/>
  <c r="K1410" i="1"/>
  <c r="J1411" i="1"/>
  <c r="K1411" i="1"/>
  <c r="J1412" i="1"/>
  <c r="K1412" i="1"/>
  <c r="J1413" i="1"/>
  <c r="K1413" i="1"/>
  <c r="J1414" i="1"/>
  <c r="K1414" i="1"/>
  <c r="J1415" i="1"/>
  <c r="K1415" i="1"/>
  <c r="J1416" i="1"/>
  <c r="K1416" i="1"/>
  <c r="J1417" i="1"/>
  <c r="K1417" i="1"/>
  <c r="J1418" i="1"/>
  <c r="K1418" i="1"/>
  <c r="J1419" i="1"/>
  <c r="K1419" i="1"/>
  <c r="J1420" i="1"/>
  <c r="K1420" i="1"/>
  <c r="J1421" i="1"/>
  <c r="K1421" i="1"/>
  <c r="J1422" i="1"/>
  <c r="K1422" i="1"/>
  <c r="J1423" i="1"/>
  <c r="K1423" i="1"/>
  <c r="J1424" i="1"/>
  <c r="K1424" i="1"/>
  <c r="J1425" i="1"/>
  <c r="K1425" i="1"/>
  <c r="J1426" i="1"/>
  <c r="K1426" i="1"/>
  <c r="J1427" i="1"/>
  <c r="K1427" i="1"/>
  <c r="J1428" i="1"/>
  <c r="K1428" i="1"/>
  <c r="J1429" i="1"/>
  <c r="K1429" i="1"/>
  <c r="J1430" i="1"/>
  <c r="K1430" i="1"/>
  <c r="J1431" i="1"/>
  <c r="K1431" i="1"/>
  <c r="J1432" i="1"/>
  <c r="K1432" i="1"/>
  <c r="J1433" i="1"/>
  <c r="K1433" i="1"/>
  <c r="J1434" i="1"/>
  <c r="K1434" i="1"/>
  <c r="J1435" i="1"/>
  <c r="K1435" i="1"/>
  <c r="J1436" i="1"/>
  <c r="K1436" i="1"/>
  <c r="J1437" i="1"/>
  <c r="K1437" i="1"/>
  <c r="J1438" i="1"/>
  <c r="K1438" i="1"/>
  <c r="J1439" i="1"/>
  <c r="K1439" i="1"/>
  <c r="J1440" i="1"/>
  <c r="K1440" i="1"/>
  <c r="J1441" i="1"/>
  <c r="K1441" i="1"/>
  <c r="J1442" i="1"/>
  <c r="K1442" i="1"/>
  <c r="J1443" i="1"/>
  <c r="K1443" i="1"/>
  <c r="J1444" i="1"/>
  <c r="K1444" i="1"/>
  <c r="J1445" i="1"/>
  <c r="K1445" i="1"/>
  <c r="J1446" i="1"/>
  <c r="K1446" i="1"/>
  <c r="J1447" i="1"/>
  <c r="K1447" i="1"/>
  <c r="J1448" i="1"/>
  <c r="K1448" i="1"/>
  <c r="J1449" i="1"/>
  <c r="K1449" i="1"/>
  <c r="J1450" i="1"/>
  <c r="K1450" i="1"/>
  <c r="J1451" i="1"/>
  <c r="K1451" i="1"/>
  <c r="J1452" i="1"/>
  <c r="K1452" i="1"/>
  <c r="J1453" i="1"/>
  <c r="K1453" i="1"/>
  <c r="J1454" i="1"/>
  <c r="K1454" i="1"/>
  <c r="J1455" i="1"/>
  <c r="K1455" i="1"/>
  <c r="J1456" i="1"/>
  <c r="K1456" i="1"/>
  <c r="J1457" i="1"/>
  <c r="K1457" i="1"/>
  <c r="J1458" i="1"/>
  <c r="K1458" i="1"/>
  <c r="J1459" i="1"/>
  <c r="K1459" i="1"/>
  <c r="J1460" i="1"/>
  <c r="K1460" i="1"/>
  <c r="J1461" i="1"/>
  <c r="K1461" i="1"/>
  <c r="J1462" i="1"/>
  <c r="K1462" i="1"/>
  <c r="J1463" i="1"/>
  <c r="K1463" i="1"/>
  <c r="J1464" i="1"/>
  <c r="K1464" i="1"/>
  <c r="J1465" i="1"/>
  <c r="K1465" i="1"/>
  <c r="J1466" i="1"/>
  <c r="K1466" i="1"/>
  <c r="J1467" i="1"/>
  <c r="K1467" i="1"/>
  <c r="J1468" i="1"/>
  <c r="K1468" i="1"/>
  <c r="J1469" i="1"/>
  <c r="K1469" i="1"/>
  <c r="J1470" i="1"/>
  <c r="K1470" i="1"/>
  <c r="J1471" i="1"/>
  <c r="K1471" i="1"/>
  <c r="J1472" i="1"/>
  <c r="K1472" i="1"/>
  <c r="J1473" i="1"/>
  <c r="K1473" i="1"/>
  <c r="J1474" i="1"/>
  <c r="K1474" i="1"/>
  <c r="J1475" i="1"/>
  <c r="K1475" i="1"/>
  <c r="J1476" i="1"/>
  <c r="K1476" i="1"/>
  <c r="J1477" i="1"/>
  <c r="K1477" i="1"/>
  <c r="J1478" i="1"/>
  <c r="K1478" i="1"/>
  <c r="J1479" i="1"/>
  <c r="K1479" i="1"/>
  <c r="J1480" i="1"/>
  <c r="K1480" i="1"/>
  <c r="J1481" i="1"/>
  <c r="K1481" i="1"/>
  <c r="J1482" i="1"/>
  <c r="K1482" i="1"/>
  <c r="J1483" i="1"/>
  <c r="K1483" i="1"/>
  <c r="J1484" i="1"/>
  <c r="K1484" i="1"/>
  <c r="J1485" i="1"/>
  <c r="K1485" i="1"/>
  <c r="J1486" i="1"/>
  <c r="K1486" i="1"/>
  <c r="J1487" i="1"/>
  <c r="K1487" i="1"/>
  <c r="J1488" i="1"/>
  <c r="K1488" i="1"/>
  <c r="J1489" i="1"/>
  <c r="K1489" i="1"/>
  <c r="J1490" i="1"/>
  <c r="K1490" i="1"/>
  <c r="J1491" i="1"/>
  <c r="K1491" i="1"/>
  <c r="J1492" i="1"/>
  <c r="K1492" i="1"/>
  <c r="J1493" i="1"/>
  <c r="K1493" i="1"/>
  <c r="J1494" i="1"/>
  <c r="K1494" i="1"/>
  <c r="J1495" i="1"/>
  <c r="K1495" i="1"/>
  <c r="J1496" i="1"/>
  <c r="K1496" i="1"/>
  <c r="J1497" i="1"/>
  <c r="K1497" i="1"/>
  <c r="J1498" i="1"/>
  <c r="K1498" i="1"/>
  <c r="J1499" i="1"/>
  <c r="K1499" i="1"/>
  <c r="J1500" i="1"/>
  <c r="K1500" i="1"/>
  <c r="J1501" i="1"/>
  <c r="K1501" i="1"/>
  <c r="J1502" i="1"/>
  <c r="K1502" i="1"/>
  <c r="J1503" i="1"/>
  <c r="K1503" i="1"/>
  <c r="J1504" i="1"/>
  <c r="K1504" i="1"/>
  <c r="J1505" i="1"/>
  <c r="K1505" i="1"/>
  <c r="J1506" i="1"/>
  <c r="K1506" i="1"/>
  <c r="J1507" i="1"/>
  <c r="K1507" i="1"/>
  <c r="J1508" i="1"/>
  <c r="K1508" i="1"/>
  <c r="J1509" i="1"/>
  <c r="K1509" i="1"/>
  <c r="J1510" i="1"/>
  <c r="K1510" i="1"/>
  <c r="J1511" i="1"/>
  <c r="K1511" i="1"/>
  <c r="J1512" i="1"/>
  <c r="K1512" i="1"/>
  <c r="J1513" i="1"/>
  <c r="K1513" i="1"/>
  <c r="J1514" i="1"/>
  <c r="K1514" i="1"/>
  <c r="J1515" i="1"/>
  <c r="K1515" i="1"/>
  <c r="J1516" i="1"/>
  <c r="K1516" i="1"/>
  <c r="J1517" i="1"/>
  <c r="K1517" i="1"/>
  <c r="J1518" i="1"/>
  <c r="K1518" i="1"/>
  <c r="J1519" i="1"/>
  <c r="K1519" i="1"/>
  <c r="J1520" i="1"/>
  <c r="K1520" i="1"/>
  <c r="J1521" i="1"/>
  <c r="K1521" i="1"/>
  <c r="J1522" i="1"/>
  <c r="K1522" i="1"/>
  <c r="J1523" i="1"/>
  <c r="K1523" i="1"/>
  <c r="J1524" i="1"/>
  <c r="K1524" i="1"/>
  <c r="J1525" i="1"/>
  <c r="K1525" i="1"/>
  <c r="J1526" i="1"/>
  <c r="K1526" i="1"/>
  <c r="J1527" i="1"/>
  <c r="K1527" i="1"/>
  <c r="J1528" i="1"/>
  <c r="K1528" i="1"/>
  <c r="J1529" i="1"/>
  <c r="K1529" i="1"/>
  <c r="J1530" i="1"/>
  <c r="K1530" i="1"/>
  <c r="J1531" i="1"/>
  <c r="K1531" i="1"/>
  <c r="J1532" i="1"/>
  <c r="K1532" i="1"/>
  <c r="J1533" i="1"/>
  <c r="K1533" i="1"/>
  <c r="J1534" i="1"/>
  <c r="K1534" i="1"/>
  <c r="J1535" i="1"/>
  <c r="K1535" i="1"/>
  <c r="J1536" i="1"/>
  <c r="K1536" i="1"/>
  <c r="J1537" i="1"/>
  <c r="K1537" i="1"/>
  <c r="J1538" i="1"/>
  <c r="K1538" i="1"/>
  <c r="J1539" i="1"/>
  <c r="K1539" i="1"/>
  <c r="J1540" i="1"/>
  <c r="K1540" i="1"/>
  <c r="J1541" i="1"/>
  <c r="K1541" i="1"/>
  <c r="J1542" i="1"/>
  <c r="K1542" i="1"/>
  <c r="J1543" i="1"/>
  <c r="K1543" i="1"/>
  <c r="J1544" i="1"/>
  <c r="K1544" i="1"/>
  <c r="J1545" i="1"/>
  <c r="K1545" i="1"/>
  <c r="J1546" i="1"/>
  <c r="K1546" i="1"/>
  <c r="J1547" i="1"/>
  <c r="K1547" i="1"/>
  <c r="J1548" i="1"/>
  <c r="K1548" i="1"/>
  <c r="J1549" i="1"/>
  <c r="K1549" i="1"/>
  <c r="J1550" i="1"/>
  <c r="K1550" i="1"/>
  <c r="J1551" i="1"/>
  <c r="K1551" i="1"/>
  <c r="J1552" i="1"/>
  <c r="K1552" i="1"/>
  <c r="J1553" i="1"/>
  <c r="K1553" i="1"/>
  <c r="J1554" i="1"/>
  <c r="K1554" i="1"/>
  <c r="J1555" i="1"/>
  <c r="K1555" i="1"/>
  <c r="J1556" i="1"/>
  <c r="K1556" i="1"/>
  <c r="J1557" i="1"/>
  <c r="K1557" i="1"/>
  <c r="J1558" i="1"/>
  <c r="K1558" i="1"/>
  <c r="J1559" i="1"/>
  <c r="K1559" i="1"/>
  <c r="J1560" i="1"/>
  <c r="K1560" i="1"/>
  <c r="J1561" i="1"/>
  <c r="K1561" i="1"/>
  <c r="J1562" i="1"/>
  <c r="K1562" i="1"/>
  <c r="J1563" i="1"/>
  <c r="K1563" i="1"/>
  <c r="J1564" i="1"/>
  <c r="K1564" i="1"/>
  <c r="J1565" i="1"/>
  <c r="K1565" i="1"/>
  <c r="J1566" i="1"/>
  <c r="K1566" i="1"/>
  <c r="J1567" i="1"/>
  <c r="K1567" i="1"/>
  <c r="J1568" i="1"/>
  <c r="K1568" i="1"/>
  <c r="J1569" i="1"/>
  <c r="K1569" i="1"/>
  <c r="J1570" i="1"/>
  <c r="K1570" i="1"/>
  <c r="J1571" i="1"/>
  <c r="K1571" i="1"/>
  <c r="J1572" i="1"/>
  <c r="K1572" i="1"/>
  <c r="J1573" i="1"/>
  <c r="K1573" i="1"/>
  <c r="J1574" i="1"/>
  <c r="K1574" i="1"/>
  <c r="J1575" i="1"/>
  <c r="K1575" i="1"/>
  <c r="J1576" i="1"/>
  <c r="K1576" i="1"/>
  <c r="J1577" i="1"/>
  <c r="K1577" i="1"/>
  <c r="J1578" i="1"/>
  <c r="K1578" i="1"/>
  <c r="J1579" i="1"/>
  <c r="K1579" i="1"/>
  <c r="J1580" i="1"/>
  <c r="K1580" i="1"/>
  <c r="J1581" i="1"/>
  <c r="K1581" i="1"/>
  <c r="J1582" i="1"/>
  <c r="K1582" i="1"/>
  <c r="J1583" i="1"/>
  <c r="K1583" i="1"/>
  <c r="J1584" i="1"/>
  <c r="K1584" i="1"/>
  <c r="J1585" i="1"/>
  <c r="K1585" i="1"/>
  <c r="J1586" i="1"/>
  <c r="K1586" i="1"/>
  <c r="J1587" i="1"/>
  <c r="K1587" i="1"/>
  <c r="J1588" i="1"/>
  <c r="K1588" i="1"/>
  <c r="J1589" i="1"/>
  <c r="K1589" i="1"/>
  <c r="J1590" i="1"/>
  <c r="K1590" i="1"/>
  <c r="J1591" i="1"/>
  <c r="K1591" i="1"/>
  <c r="J1592" i="1"/>
  <c r="K1592" i="1"/>
  <c r="J1593" i="1"/>
  <c r="K1593" i="1"/>
  <c r="J1594" i="1"/>
  <c r="K1594" i="1"/>
  <c r="J1595" i="1"/>
  <c r="K1595" i="1"/>
  <c r="J1596" i="1"/>
  <c r="K1596" i="1"/>
  <c r="J1597" i="1"/>
  <c r="K1597" i="1"/>
  <c r="J1598" i="1"/>
  <c r="K1598" i="1"/>
  <c r="J1599" i="1"/>
  <c r="K1599" i="1"/>
  <c r="J1600" i="1"/>
  <c r="K1600" i="1"/>
  <c r="J1601" i="1"/>
  <c r="K1601" i="1"/>
  <c r="J1602" i="1"/>
  <c r="K1602" i="1"/>
  <c r="J1603" i="1"/>
  <c r="K1603" i="1"/>
  <c r="J1604" i="1"/>
  <c r="K1604" i="1"/>
  <c r="J1605" i="1"/>
  <c r="K1605" i="1"/>
  <c r="J1606" i="1"/>
  <c r="K1606" i="1"/>
  <c r="J1607" i="1"/>
  <c r="K1607" i="1"/>
  <c r="J1608" i="1"/>
  <c r="K1608" i="1"/>
  <c r="J1609" i="1"/>
  <c r="K1609" i="1"/>
  <c r="J1610" i="1"/>
  <c r="K1610" i="1"/>
  <c r="J1611" i="1"/>
  <c r="K1611" i="1"/>
  <c r="J1612" i="1"/>
  <c r="K1612" i="1"/>
  <c r="J1613" i="1"/>
  <c r="K1613" i="1"/>
  <c r="J1614" i="1"/>
  <c r="K1614" i="1"/>
  <c r="J1615" i="1"/>
  <c r="K1615" i="1"/>
  <c r="J1616" i="1"/>
  <c r="K1616" i="1"/>
  <c r="J1617" i="1"/>
  <c r="K1617" i="1"/>
  <c r="J1618" i="1"/>
  <c r="K1618" i="1"/>
  <c r="J1619" i="1"/>
  <c r="K1619" i="1"/>
  <c r="J1620" i="1"/>
  <c r="K1620" i="1"/>
  <c r="J1621" i="1"/>
  <c r="K1621" i="1"/>
  <c r="J1622" i="1"/>
  <c r="K1622" i="1"/>
  <c r="J1623" i="1"/>
  <c r="K1623" i="1"/>
  <c r="J1624" i="1"/>
  <c r="K1624" i="1"/>
  <c r="J1625" i="1"/>
  <c r="K1625" i="1"/>
  <c r="J1626" i="1"/>
  <c r="K1626" i="1"/>
  <c r="J1627" i="1"/>
  <c r="K1627" i="1"/>
  <c r="J1628" i="1"/>
  <c r="K1628" i="1"/>
  <c r="J1629" i="1"/>
  <c r="K1629" i="1"/>
  <c r="J1630" i="1"/>
  <c r="K1630" i="1"/>
  <c r="J1631" i="1"/>
  <c r="K1631" i="1"/>
  <c r="J1632" i="1"/>
  <c r="K1632" i="1"/>
  <c r="J1633" i="1"/>
  <c r="K1633" i="1"/>
  <c r="J1634" i="1"/>
  <c r="K1634" i="1"/>
  <c r="J1635" i="1"/>
  <c r="K1635" i="1"/>
  <c r="J1636" i="1"/>
  <c r="K1636" i="1"/>
  <c r="J1637" i="1"/>
  <c r="K1637" i="1"/>
  <c r="J1638" i="1"/>
  <c r="K1638" i="1"/>
  <c r="J1639" i="1"/>
  <c r="K1639" i="1"/>
  <c r="J1640" i="1"/>
  <c r="K1640" i="1"/>
  <c r="J1641" i="1"/>
  <c r="K1641" i="1"/>
  <c r="J1642" i="1"/>
  <c r="K1642" i="1"/>
  <c r="J1643" i="1"/>
  <c r="K1643" i="1"/>
  <c r="J1644" i="1"/>
  <c r="K1644" i="1"/>
  <c r="J1645" i="1"/>
  <c r="K1645" i="1"/>
  <c r="J1646" i="1"/>
  <c r="K1646" i="1"/>
  <c r="J1647" i="1"/>
  <c r="K1647" i="1"/>
  <c r="J1648" i="1"/>
  <c r="K1648" i="1"/>
  <c r="J1649" i="1"/>
  <c r="K1649" i="1"/>
  <c r="J1650" i="1"/>
  <c r="K1650" i="1"/>
  <c r="J1651" i="1"/>
  <c r="K1651" i="1"/>
  <c r="J1652" i="1"/>
  <c r="K1652" i="1"/>
  <c r="J1653" i="1"/>
  <c r="K1653" i="1"/>
  <c r="J1654" i="1"/>
  <c r="K1654" i="1"/>
  <c r="J1655" i="1"/>
  <c r="K1655" i="1"/>
  <c r="J1656" i="1"/>
  <c r="K1656" i="1"/>
  <c r="J1657" i="1"/>
  <c r="K1657" i="1"/>
  <c r="J1658" i="1"/>
  <c r="K1658" i="1"/>
  <c r="J1659" i="1"/>
  <c r="K1659" i="1"/>
  <c r="J1660" i="1"/>
  <c r="K1660" i="1"/>
  <c r="J1661" i="1"/>
  <c r="K1661" i="1"/>
  <c r="J1662" i="1"/>
  <c r="K1662" i="1"/>
  <c r="J1663" i="1"/>
  <c r="K1663" i="1"/>
  <c r="J1664" i="1"/>
  <c r="K1664" i="1"/>
  <c r="J1665" i="1"/>
  <c r="K1665" i="1"/>
  <c r="J1666" i="1"/>
  <c r="K1666" i="1"/>
  <c r="J1667" i="1"/>
  <c r="K1667" i="1"/>
  <c r="J1668" i="1"/>
  <c r="K1668" i="1"/>
  <c r="J1669" i="1"/>
  <c r="K1669" i="1"/>
  <c r="J1670" i="1"/>
  <c r="K1670" i="1"/>
  <c r="J1671" i="1"/>
  <c r="K1671" i="1"/>
  <c r="J1672" i="1"/>
  <c r="K1672" i="1"/>
  <c r="J1673" i="1"/>
  <c r="K1673" i="1"/>
  <c r="J1674" i="1"/>
  <c r="K1674" i="1"/>
  <c r="J1675" i="1"/>
  <c r="K1675" i="1"/>
  <c r="J1676" i="1"/>
  <c r="K1676" i="1"/>
  <c r="J1677" i="1"/>
  <c r="K1677" i="1"/>
  <c r="J1678" i="1"/>
  <c r="K1678" i="1"/>
  <c r="J1679" i="1"/>
  <c r="K1679" i="1"/>
  <c r="J1680" i="1"/>
  <c r="K1680" i="1"/>
  <c r="J1681" i="1"/>
  <c r="K1681" i="1"/>
  <c r="J1682" i="1"/>
  <c r="K1682" i="1"/>
  <c r="J1683" i="1"/>
  <c r="K1683" i="1"/>
  <c r="J1684" i="1"/>
  <c r="K1684" i="1"/>
  <c r="J1685" i="1"/>
  <c r="K1685" i="1"/>
  <c r="J1686" i="1"/>
  <c r="K1686" i="1"/>
  <c r="J1687" i="1"/>
  <c r="K1687" i="1"/>
  <c r="J1688" i="1"/>
  <c r="K1688" i="1"/>
  <c r="J1689" i="1"/>
  <c r="K1689" i="1"/>
  <c r="J1690" i="1"/>
  <c r="K1690" i="1"/>
  <c r="J1691" i="1"/>
  <c r="K1691" i="1"/>
  <c r="J1692" i="1"/>
  <c r="K1692" i="1"/>
  <c r="J1693" i="1"/>
  <c r="K1693" i="1"/>
  <c r="J1694" i="1"/>
  <c r="K1694" i="1"/>
  <c r="J1695" i="1"/>
  <c r="K1695" i="1"/>
  <c r="J1696" i="1"/>
  <c r="K1696" i="1"/>
  <c r="J1697" i="1"/>
  <c r="K1697" i="1"/>
  <c r="J1698" i="1"/>
  <c r="K1698" i="1"/>
  <c r="J1699" i="1"/>
  <c r="K1699" i="1"/>
  <c r="J1700" i="1"/>
  <c r="K1700" i="1"/>
  <c r="J1701" i="1"/>
  <c r="K1701" i="1"/>
  <c r="J1702" i="1"/>
  <c r="K1702" i="1"/>
  <c r="J1703" i="1"/>
  <c r="K1703" i="1"/>
  <c r="J1704" i="1"/>
  <c r="K1704" i="1"/>
  <c r="J1705" i="1"/>
  <c r="K1705" i="1"/>
  <c r="J1706" i="1"/>
  <c r="K1706" i="1"/>
  <c r="J1707" i="1"/>
  <c r="K1707" i="1"/>
  <c r="J1708" i="1"/>
  <c r="K1708" i="1"/>
  <c r="J1709" i="1"/>
  <c r="K1709" i="1"/>
  <c r="J1710" i="1"/>
  <c r="K1710" i="1"/>
  <c r="J1711" i="1"/>
  <c r="K1711" i="1"/>
  <c r="J1712" i="1"/>
  <c r="K1712" i="1"/>
  <c r="J1713" i="1"/>
  <c r="K1713" i="1"/>
  <c r="J1714" i="1"/>
  <c r="K1714" i="1"/>
  <c r="J1715" i="1"/>
  <c r="K1715" i="1"/>
  <c r="J1716" i="1"/>
  <c r="K1716" i="1"/>
  <c r="J1717" i="1"/>
  <c r="K1717" i="1"/>
  <c r="J1718" i="1"/>
  <c r="K1718" i="1"/>
  <c r="J1719" i="1"/>
  <c r="K1719" i="1"/>
  <c r="J1720" i="1"/>
  <c r="K1720" i="1"/>
  <c r="J1721" i="1"/>
  <c r="K1721" i="1"/>
  <c r="J1722" i="1"/>
  <c r="K1722" i="1"/>
  <c r="J1723" i="1"/>
  <c r="K1723" i="1"/>
  <c r="J1724" i="1"/>
  <c r="K1724" i="1"/>
  <c r="J1725" i="1"/>
  <c r="K1725" i="1"/>
  <c r="J1726" i="1"/>
  <c r="K1726" i="1"/>
  <c r="J1727" i="1"/>
  <c r="K1727" i="1"/>
  <c r="J1728" i="1"/>
  <c r="K1728" i="1"/>
  <c r="J1729" i="1"/>
  <c r="K1729" i="1"/>
  <c r="J1730" i="1"/>
  <c r="K1730" i="1"/>
  <c r="J1731" i="1"/>
  <c r="K1731" i="1"/>
  <c r="J1732" i="1"/>
  <c r="K1732" i="1"/>
  <c r="J1733" i="1"/>
  <c r="K1733" i="1"/>
  <c r="J1734" i="1"/>
  <c r="K1734" i="1"/>
  <c r="J1735" i="1"/>
  <c r="K1735" i="1"/>
  <c r="J1736" i="1"/>
  <c r="K1736" i="1"/>
  <c r="J1737" i="1"/>
  <c r="K1737" i="1"/>
  <c r="J1738" i="1"/>
  <c r="K1738" i="1"/>
  <c r="J1739" i="1"/>
  <c r="K1739" i="1"/>
  <c r="J1740" i="1"/>
  <c r="K1740" i="1"/>
  <c r="J1741" i="1"/>
  <c r="K1741" i="1"/>
  <c r="J1742" i="1"/>
  <c r="K1742" i="1"/>
  <c r="J1743" i="1"/>
  <c r="K1743" i="1"/>
  <c r="J1744" i="1"/>
  <c r="K1744" i="1"/>
  <c r="J1745" i="1"/>
  <c r="K1745" i="1"/>
  <c r="J1746" i="1"/>
  <c r="K1746" i="1"/>
  <c r="J1747" i="1"/>
  <c r="K1747" i="1"/>
  <c r="J1748" i="1"/>
  <c r="K1748" i="1"/>
  <c r="J1749" i="1"/>
  <c r="K1749" i="1"/>
  <c r="J1750" i="1"/>
  <c r="K1750" i="1"/>
  <c r="J1751" i="1"/>
  <c r="K1751" i="1"/>
  <c r="J1752" i="1"/>
  <c r="K1752" i="1"/>
  <c r="J1753" i="1"/>
  <c r="K1753" i="1"/>
  <c r="J1754" i="1"/>
  <c r="K1754" i="1"/>
  <c r="J1755" i="1"/>
  <c r="K1755" i="1"/>
  <c r="J1756" i="1"/>
  <c r="K1756" i="1"/>
  <c r="J1757" i="1"/>
  <c r="K1757" i="1"/>
  <c r="J1758" i="1"/>
  <c r="K1758" i="1"/>
  <c r="J1759" i="1"/>
  <c r="K1759" i="1"/>
  <c r="J1760" i="1"/>
  <c r="K1760" i="1"/>
  <c r="J1761" i="1"/>
  <c r="K1761" i="1"/>
  <c r="J1762" i="1"/>
  <c r="K1762" i="1"/>
  <c r="J1763" i="1"/>
  <c r="K1763" i="1"/>
  <c r="J1764" i="1"/>
  <c r="K1764" i="1"/>
  <c r="J1765" i="1"/>
  <c r="K1765" i="1"/>
  <c r="J1766" i="1"/>
  <c r="K1766" i="1"/>
  <c r="J1767" i="1"/>
  <c r="K1767" i="1"/>
  <c r="J1768" i="1"/>
  <c r="K1768" i="1"/>
  <c r="J1769" i="1"/>
  <c r="K1769" i="1"/>
  <c r="J1770" i="1"/>
  <c r="K1770" i="1"/>
  <c r="J1771" i="1"/>
  <c r="K1771" i="1"/>
  <c r="J1772" i="1"/>
  <c r="K1772" i="1"/>
  <c r="J1773" i="1"/>
  <c r="K1773" i="1"/>
  <c r="J1774" i="1"/>
  <c r="K1774" i="1"/>
  <c r="J1775" i="1"/>
  <c r="K1775" i="1"/>
  <c r="J1776" i="1"/>
  <c r="K1776" i="1"/>
  <c r="J1777" i="1"/>
  <c r="K1777" i="1"/>
  <c r="J1778" i="1"/>
  <c r="K1778" i="1"/>
  <c r="J1779" i="1"/>
  <c r="K1779" i="1"/>
  <c r="J1780" i="1"/>
  <c r="K1780" i="1"/>
  <c r="J1781" i="1"/>
  <c r="K1781" i="1"/>
  <c r="J1782" i="1"/>
  <c r="K1782" i="1"/>
  <c r="J1783" i="1"/>
  <c r="K1783" i="1"/>
  <c r="J1784" i="1"/>
  <c r="K1784" i="1"/>
  <c r="J1785" i="1"/>
  <c r="K1785" i="1"/>
  <c r="J1786" i="1"/>
  <c r="K1786" i="1"/>
  <c r="J1787" i="1"/>
  <c r="K1787" i="1"/>
  <c r="J1788" i="1"/>
  <c r="K1788" i="1"/>
  <c r="J1789" i="1"/>
  <c r="K1789" i="1"/>
  <c r="J1790" i="1"/>
  <c r="K1790" i="1"/>
  <c r="J1791" i="1"/>
  <c r="K1791" i="1"/>
  <c r="J1792" i="1"/>
  <c r="K1792" i="1"/>
  <c r="J1793" i="1"/>
  <c r="K1793" i="1"/>
  <c r="J1794" i="1"/>
  <c r="K1794" i="1"/>
  <c r="J1795" i="1"/>
  <c r="K1795" i="1"/>
  <c r="J1796" i="1"/>
  <c r="K1796" i="1"/>
  <c r="J1797" i="1"/>
  <c r="K1797" i="1"/>
  <c r="J1798" i="1"/>
  <c r="K1798" i="1"/>
  <c r="J1799" i="1"/>
  <c r="K1799" i="1"/>
  <c r="J1800" i="1"/>
  <c r="K1800" i="1"/>
  <c r="J1801" i="1"/>
  <c r="K1801" i="1"/>
  <c r="J1802" i="1"/>
  <c r="K1802" i="1"/>
  <c r="J1803" i="1"/>
  <c r="K1803" i="1"/>
  <c r="K4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4" i="1"/>
  <c r="I3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F47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F70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F83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F190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F283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F303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F324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F374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G395" i="1"/>
  <c r="G396" i="1"/>
  <c r="G397" i="1"/>
  <c r="F398" i="1"/>
  <c r="G398" i="1"/>
  <c r="G399" i="1"/>
  <c r="G400" i="1"/>
  <c r="G401" i="1"/>
  <c r="G402" i="1"/>
  <c r="G403" i="1"/>
  <c r="F404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F419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F439" i="1"/>
  <c r="G439" i="1"/>
  <c r="G440" i="1"/>
  <c r="G441" i="1"/>
  <c r="G442" i="1"/>
  <c r="G443" i="1"/>
  <c r="G444" i="1"/>
  <c r="G445" i="1"/>
  <c r="G446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3" i="1"/>
  <c r="G513" i="1"/>
  <c r="F514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F533" i="1"/>
  <c r="G533" i="1"/>
  <c r="F534" i="1"/>
  <c r="G534" i="1"/>
  <c r="F535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F548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F570" i="1"/>
  <c r="G570" i="1"/>
  <c r="F571" i="1"/>
  <c r="G571" i="1"/>
  <c r="F572" i="1"/>
  <c r="G572" i="1"/>
  <c r="F573" i="1"/>
  <c r="G573" i="1"/>
  <c r="F574" i="1"/>
  <c r="G574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F638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F667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F710" i="1"/>
  <c r="G710" i="1"/>
  <c r="G711" i="1"/>
  <c r="G712" i="1"/>
  <c r="G713" i="1"/>
  <c r="G714" i="1"/>
  <c r="F715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F735" i="1"/>
  <c r="G735" i="1"/>
  <c r="G736" i="1"/>
  <c r="G737" i="1"/>
  <c r="G738" i="1"/>
  <c r="G739" i="1"/>
  <c r="G740" i="1"/>
  <c r="G741" i="1"/>
  <c r="F742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F774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F806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F827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F854" i="1"/>
  <c r="G854" i="1"/>
  <c r="G855" i="1"/>
  <c r="G856" i="1"/>
  <c r="G857" i="1"/>
  <c r="G858" i="1"/>
  <c r="F859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F880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F907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F928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F942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F989" i="1"/>
  <c r="G989" i="1"/>
  <c r="F990" i="1"/>
  <c r="G990" i="1"/>
  <c r="F991" i="1"/>
  <c r="G991" i="1"/>
  <c r="F992" i="1"/>
  <c r="G992" i="1"/>
  <c r="F993" i="1"/>
  <c r="G993" i="1"/>
  <c r="F994" i="1"/>
  <c r="G994" i="1"/>
  <c r="F995" i="1"/>
  <c r="G995" i="1"/>
  <c r="F996" i="1"/>
  <c r="G996" i="1"/>
  <c r="F997" i="1"/>
  <c r="G997" i="1"/>
  <c r="F998" i="1"/>
  <c r="G998" i="1"/>
  <c r="F999" i="1"/>
  <c r="G999" i="1"/>
  <c r="F1000" i="1"/>
  <c r="G1000" i="1"/>
  <c r="F1001" i="1"/>
  <c r="G1001" i="1"/>
  <c r="F1002" i="1"/>
  <c r="G1002" i="1"/>
  <c r="F1003" i="1"/>
  <c r="G1003" i="1"/>
  <c r="F1004" i="1"/>
  <c r="G1004" i="1"/>
  <c r="F1005" i="1"/>
  <c r="G1005" i="1"/>
  <c r="F1006" i="1"/>
  <c r="G1006" i="1"/>
  <c r="F1007" i="1"/>
  <c r="G1007" i="1"/>
  <c r="F1008" i="1"/>
  <c r="G1008" i="1"/>
  <c r="F1009" i="1"/>
  <c r="G1009" i="1"/>
  <c r="F1010" i="1"/>
  <c r="G1010" i="1"/>
  <c r="F1011" i="1"/>
  <c r="G1011" i="1"/>
  <c r="F1012" i="1"/>
  <c r="G1012" i="1"/>
  <c r="F1013" i="1"/>
  <c r="G1013" i="1"/>
  <c r="F1014" i="1"/>
  <c r="G1014" i="1"/>
  <c r="F1015" i="1"/>
  <c r="G1015" i="1"/>
  <c r="F1016" i="1"/>
  <c r="G1016" i="1"/>
  <c r="F1017" i="1"/>
  <c r="G1017" i="1"/>
  <c r="F1018" i="1"/>
  <c r="G1018" i="1"/>
  <c r="F1019" i="1"/>
  <c r="G1019" i="1"/>
  <c r="F1020" i="1"/>
  <c r="G1020" i="1"/>
  <c r="F1021" i="1"/>
  <c r="G1021" i="1"/>
  <c r="F1022" i="1"/>
  <c r="G1022" i="1"/>
  <c r="F1023" i="1"/>
  <c r="G1023" i="1"/>
  <c r="F1024" i="1"/>
  <c r="G1024" i="1"/>
  <c r="F1025" i="1"/>
  <c r="G1025" i="1"/>
  <c r="F1026" i="1"/>
  <c r="G1026" i="1"/>
  <c r="F1027" i="1"/>
  <c r="G1027" i="1"/>
  <c r="F1028" i="1"/>
  <c r="G1028" i="1"/>
  <c r="F1029" i="1"/>
  <c r="G1029" i="1"/>
  <c r="G1030" i="1"/>
  <c r="G1031" i="1"/>
  <c r="G1032" i="1"/>
  <c r="G1033" i="1"/>
  <c r="G1034" i="1"/>
  <c r="F1035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F1062" i="1"/>
  <c r="G1062" i="1"/>
  <c r="G1063" i="1"/>
  <c r="G1064" i="1"/>
  <c r="G1065" i="1"/>
  <c r="G1066" i="1"/>
  <c r="G1067" i="1"/>
  <c r="F1068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F1094" i="1"/>
  <c r="G1094" i="1"/>
  <c r="G1095" i="1"/>
  <c r="G1096" i="1"/>
  <c r="G1097" i="1"/>
  <c r="G1098" i="1"/>
  <c r="G1099" i="1"/>
  <c r="F1100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F1126" i="1"/>
  <c r="G1126" i="1"/>
  <c r="G1127" i="1"/>
  <c r="G1128" i="1"/>
  <c r="G1129" i="1"/>
  <c r="G1130" i="1"/>
  <c r="G1131" i="1"/>
  <c r="G1132" i="1"/>
  <c r="G1133" i="1"/>
  <c r="F1134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F1190" i="1"/>
  <c r="G1190" i="1"/>
  <c r="G1191" i="1"/>
  <c r="G1192" i="1"/>
  <c r="G1193" i="1"/>
  <c r="G1194" i="1"/>
  <c r="G1195" i="1"/>
  <c r="G1196" i="1"/>
  <c r="G1197" i="1"/>
  <c r="F1198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F1254" i="1"/>
  <c r="G1254" i="1"/>
  <c r="G1255" i="1"/>
  <c r="G1256" i="1"/>
  <c r="G1257" i="1"/>
  <c r="G1258" i="1"/>
  <c r="G1259" i="1"/>
  <c r="G1260" i="1"/>
  <c r="G1261" i="1"/>
  <c r="F1262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F1302" i="1"/>
  <c r="G1302" i="1"/>
  <c r="G1303" i="1"/>
  <c r="G1304" i="1"/>
  <c r="G1305" i="1"/>
  <c r="G1306" i="1"/>
  <c r="G1307" i="1"/>
  <c r="G1308" i="1"/>
  <c r="F1309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F1334" i="1"/>
  <c r="G1334" i="1"/>
  <c r="G1335" i="1"/>
  <c r="G1336" i="1"/>
  <c r="G1337" i="1"/>
  <c r="G1338" i="1"/>
  <c r="G1339" i="1"/>
  <c r="G1340" i="1"/>
  <c r="F1341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F1366" i="1"/>
  <c r="G1366" i="1"/>
  <c r="G1367" i="1"/>
  <c r="G1368" i="1"/>
  <c r="G1369" i="1"/>
  <c r="G1370" i="1"/>
  <c r="G1371" i="1"/>
  <c r="G1372" i="1"/>
  <c r="F1373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F1398" i="1"/>
  <c r="G1398" i="1"/>
  <c r="G1399" i="1"/>
  <c r="G1400" i="1"/>
  <c r="G1401" i="1"/>
  <c r="G1402" i="1"/>
  <c r="G1403" i="1"/>
  <c r="G1404" i="1"/>
  <c r="F1405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F1430" i="1"/>
  <c r="G1430" i="1"/>
  <c r="G1431" i="1"/>
  <c r="G1432" i="1"/>
  <c r="G1433" i="1"/>
  <c r="G1434" i="1"/>
  <c r="G1435" i="1"/>
  <c r="G1436" i="1"/>
  <c r="F1437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F1455" i="1"/>
  <c r="G1455" i="1"/>
  <c r="F1456" i="1"/>
  <c r="G1456" i="1"/>
  <c r="F1457" i="1"/>
  <c r="G1457" i="1"/>
  <c r="F1458" i="1"/>
  <c r="G1458" i="1"/>
  <c r="F1459" i="1"/>
  <c r="G1459" i="1"/>
  <c r="F1460" i="1"/>
  <c r="G1460" i="1"/>
  <c r="F1461" i="1"/>
  <c r="G1461" i="1"/>
  <c r="F1462" i="1"/>
  <c r="G1462" i="1"/>
  <c r="F1463" i="1"/>
  <c r="G1463" i="1"/>
  <c r="F1464" i="1"/>
  <c r="G1464" i="1"/>
  <c r="F1465" i="1"/>
  <c r="G1465" i="1"/>
  <c r="F1466" i="1"/>
  <c r="G1466" i="1"/>
  <c r="F1467" i="1"/>
  <c r="G1467" i="1"/>
  <c r="F1468" i="1"/>
  <c r="G1468" i="1"/>
  <c r="F1469" i="1"/>
  <c r="G1469" i="1"/>
  <c r="F1470" i="1"/>
  <c r="G1470" i="1"/>
  <c r="F1471" i="1"/>
  <c r="G1471" i="1"/>
  <c r="F1472" i="1"/>
  <c r="G1472" i="1"/>
  <c r="F1473" i="1"/>
  <c r="G1473" i="1"/>
  <c r="F1474" i="1"/>
  <c r="G1474" i="1"/>
  <c r="F1475" i="1"/>
  <c r="G1475" i="1"/>
  <c r="F1476" i="1"/>
  <c r="G1476" i="1"/>
  <c r="F1477" i="1"/>
  <c r="G1477" i="1"/>
  <c r="F1478" i="1"/>
  <c r="G1478" i="1"/>
  <c r="F1479" i="1"/>
  <c r="G1479" i="1"/>
  <c r="F1480" i="1"/>
  <c r="G1480" i="1"/>
  <c r="F1481" i="1"/>
  <c r="G1481" i="1"/>
  <c r="G1482" i="1"/>
  <c r="G1483" i="1"/>
  <c r="G1484" i="1"/>
  <c r="F1485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F1510" i="1"/>
  <c r="G1510" i="1"/>
  <c r="G1511" i="1"/>
  <c r="G1512" i="1"/>
  <c r="G1513" i="1"/>
  <c r="G1514" i="1"/>
  <c r="G1515" i="1"/>
  <c r="G1516" i="1"/>
  <c r="F1517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F1542" i="1"/>
  <c r="G1542" i="1"/>
  <c r="G1543" i="1"/>
  <c r="G1544" i="1"/>
  <c r="G1545" i="1"/>
  <c r="G1546" i="1"/>
  <c r="G1547" i="1"/>
  <c r="G1548" i="1"/>
  <c r="F1549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F1574" i="1"/>
  <c r="G1574" i="1"/>
  <c r="G1575" i="1"/>
  <c r="G1576" i="1"/>
  <c r="G1577" i="1"/>
  <c r="G1578" i="1"/>
  <c r="G1579" i="1"/>
  <c r="G1580" i="1"/>
  <c r="F1581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F1606" i="1"/>
  <c r="G1606" i="1"/>
  <c r="G1607" i="1"/>
  <c r="G1608" i="1"/>
  <c r="G1609" i="1"/>
  <c r="G1610" i="1"/>
  <c r="G1611" i="1"/>
  <c r="G1612" i="1"/>
  <c r="F1613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F1638" i="1"/>
  <c r="G1638" i="1"/>
  <c r="G1639" i="1"/>
  <c r="G1640" i="1"/>
  <c r="G1641" i="1"/>
  <c r="G1642" i="1"/>
  <c r="G1643" i="1"/>
  <c r="G1644" i="1"/>
  <c r="F1645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F1670" i="1"/>
  <c r="G1670" i="1"/>
  <c r="G1671" i="1"/>
  <c r="G1672" i="1"/>
  <c r="G1673" i="1"/>
  <c r="G1674" i="1"/>
  <c r="G1675" i="1"/>
  <c r="G1676" i="1"/>
  <c r="F1677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F1702" i="1"/>
  <c r="G1702" i="1"/>
  <c r="G1703" i="1"/>
  <c r="G1704" i="1"/>
  <c r="G1705" i="1"/>
  <c r="G1706" i="1"/>
  <c r="G1707" i="1"/>
  <c r="G1708" i="1"/>
  <c r="F1709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F1734" i="1"/>
  <c r="G1734" i="1"/>
  <c r="G1735" i="1"/>
  <c r="G1736" i="1"/>
  <c r="G1737" i="1"/>
  <c r="G1738" i="1"/>
  <c r="G1739" i="1"/>
  <c r="G1740" i="1"/>
  <c r="F1741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F1766" i="1"/>
  <c r="G1766" i="1"/>
  <c r="G1767" i="1"/>
  <c r="G1768" i="1"/>
  <c r="G1769" i="1"/>
  <c r="G1770" i="1"/>
  <c r="G1771" i="1"/>
  <c r="G1772" i="1"/>
  <c r="F1773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F1798" i="1"/>
  <c r="G1798" i="1"/>
  <c r="F1799" i="1"/>
  <c r="G1799" i="1"/>
  <c r="F1800" i="1"/>
  <c r="G1800" i="1"/>
  <c r="F1801" i="1"/>
  <c r="G1801" i="1"/>
  <c r="F1802" i="1"/>
  <c r="G1802" i="1"/>
  <c r="F1803" i="1"/>
  <c r="G1803" i="1"/>
  <c r="E5" i="1"/>
  <c r="E6" i="1"/>
  <c r="E7" i="1"/>
  <c r="E8" i="1"/>
  <c r="E9" i="1"/>
  <c r="E10" i="1"/>
  <c r="E11" i="1"/>
  <c r="E12" i="1"/>
  <c r="E13" i="1"/>
  <c r="E14" i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E390" i="1"/>
  <c r="E391" i="1"/>
  <c r="E392" i="1"/>
  <c r="E393" i="1"/>
  <c r="E394" i="1"/>
  <c r="E395" i="1"/>
  <c r="F395" i="1" s="1"/>
  <c r="E396" i="1"/>
  <c r="F396" i="1" s="1"/>
  <c r="E397" i="1"/>
  <c r="F397" i="1" s="1"/>
  <c r="E398" i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E534" i="1"/>
  <c r="E535" i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E711" i="1"/>
  <c r="F711" i="1" s="1"/>
  <c r="E712" i="1"/>
  <c r="F712" i="1" s="1"/>
  <c r="E713" i="1"/>
  <c r="F713" i="1" s="1"/>
  <c r="E714" i="1"/>
  <c r="F714" i="1" s="1"/>
  <c r="E715" i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E855" i="1"/>
  <c r="F855" i="1" s="1"/>
  <c r="E856" i="1"/>
  <c r="F856" i="1" s="1"/>
  <c r="E857" i="1"/>
  <c r="F857" i="1" s="1"/>
  <c r="E858" i="1"/>
  <c r="F858" i="1" s="1"/>
  <c r="E859" i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F988" i="1" s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F1030" i="1" s="1"/>
  <c r="E1031" i="1"/>
  <c r="F1031" i="1" s="1"/>
  <c r="E1032" i="1"/>
  <c r="F1032" i="1" s="1"/>
  <c r="E1033" i="1"/>
  <c r="F1033" i="1" s="1"/>
  <c r="E1034" i="1"/>
  <c r="F1034" i="1" s="1"/>
  <c r="E1035" i="1"/>
  <c r="E1036" i="1"/>
  <c r="F1036" i="1" s="1"/>
  <c r="E1037" i="1"/>
  <c r="F1037" i="1" s="1"/>
  <c r="E1038" i="1"/>
  <c r="F1038" i="1" s="1"/>
  <c r="E1039" i="1"/>
  <c r="F1039" i="1" s="1"/>
  <c r="E1040" i="1"/>
  <c r="F1040" i="1" s="1"/>
  <c r="E1041" i="1"/>
  <c r="F1041" i="1" s="1"/>
  <c r="E1042" i="1"/>
  <c r="F1042" i="1" s="1"/>
  <c r="E1043" i="1"/>
  <c r="F1043" i="1" s="1"/>
  <c r="E1044" i="1"/>
  <c r="F1044" i="1" s="1"/>
  <c r="E1045" i="1"/>
  <c r="F1045" i="1" s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F1054" i="1" s="1"/>
  <c r="E1055" i="1"/>
  <c r="F1055" i="1" s="1"/>
  <c r="E1056" i="1"/>
  <c r="F1056" i="1" s="1"/>
  <c r="E1057" i="1"/>
  <c r="F1057" i="1" s="1"/>
  <c r="E1058" i="1"/>
  <c r="F1058" i="1" s="1"/>
  <c r="E1059" i="1"/>
  <c r="F1059" i="1" s="1"/>
  <c r="E1060" i="1"/>
  <c r="F1060" i="1" s="1"/>
  <c r="E1061" i="1"/>
  <c r="F1061" i="1" s="1"/>
  <c r="E1062" i="1"/>
  <c r="E1063" i="1"/>
  <c r="F1063" i="1" s="1"/>
  <c r="E1064" i="1"/>
  <c r="F1064" i="1" s="1"/>
  <c r="E1065" i="1"/>
  <c r="F1065" i="1" s="1"/>
  <c r="E1066" i="1"/>
  <c r="F1066" i="1" s="1"/>
  <c r="E1067" i="1"/>
  <c r="F1067" i="1" s="1"/>
  <c r="E1068" i="1"/>
  <c r="E1069" i="1"/>
  <c r="F1069" i="1" s="1"/>
  <c r="E1070" i="1"/>
  <c r="F1070" i="1" s="1"/>
  <c r="E1071" i="1"/>
  <c r="F1071" i="1" s="1"/>
  <c r="E1072" i="1"/>
  <c r="F1072" i="1" s="1"/>
  <c r="E1073" i="1"/>
  <c r="F1073" i="1" s="1"/>
  <c r="E1074" i="1"/>
  <c r="F1074" i="1" s="1"/>
  <c r="E1075" i="1"/>
  <c r="F1075" i="1" s="1"/>
  <c r="E1076" i="1"/>
  <c r="F1076" i="1" s="1"/>
  <c r="E1077" i="1"/>
  <c r="F1077" i="1" s="1"/>
  <c r="E1078" i="1"/>
  <c r="F1078" i="1" s="1"/>
  <c r="E1079" i="1"/>
  <c r="F1079" i="1" s="1"/>
  <c r="E1080" i="1"/>
  <c r="F1080" i="1" s="1"/>
  <c r="E1081" i="1"/>
  <c r="F1081" i="1" s="1"/>
  <c r="E1082" i="1"/>
  <c r="F1082" i="1" s="1"/>
  <c r="E1083" i="1"/>
  <c r="F1083" i="1" s="1"/>
  <c r="E1084" i="1"/>
  <c r="F1084" i="1" s="1"/>
  <c r="E1085" i="1"/>
  <c r="F1085" i="1" s="1"/>
  <c r="E1086" i="1"/>
  <c r="F1086" i="1" s="1"/>
  <c r="E1087" i="1"/>
  <c r="F1087" i="1" s="1"/>
  <c r="E1088" i="1"/>
  <c r="F1088" i="1" s="1"/>
  <c r="E1089" i="1"/>
  <c r="F1089" i="1" s="1"/>
  <c r="E1090" i="1"/>
  <c r="F1090" i="1" s="1"/>
  <c r="E1091" i="1"/>
  <c r="F1091" i="1" s="1"/>
  <c r="E1092" i="1"/>
  <c r="F1092" i="1" s="1"/>
  <c r="E1093" i="1"/>
  <c r="F1093" i="1" s="1"/>
  <c r="E1094" i="1"/>
  <c r="E1095" i="1"/>
  <c r="F1095" i="1" s="1"/>
  <c r="E1096" i="1"/>
  <c r="F1096" i="1" s="1"/>
  <c r="E1097" i="1"/>
  <c r="F1097" i="1" s="1"/>
  <c r="E1098" i="1"/>
  <c r="F1098" i="1" s="1"/>
  <c r="E1099" i="1"/>
  <c r="F1099" i="1" s="1"/>
  <c r="E1100" i="1"/>
  <c r="E1101" i="1"/>
  <c r="F1101" i="1" s="1"/>
  <c r="E1102" i="1"/>
  <c r="F1102" i="1" s="1"/>
  <c r="E1103" i="1"/>
  <c r="F1103" i="1" s="1"/>
  <c r="E1104" i="1"/>
  <c r="F1104" i="1" s="1"/>
  <c r="E1105" i="1"/>
  <c r="F1105" i="1" s="1"/>
  <c r="E1106" i="1"/>
  <c r="F1106" i="1" s="1"/>
  <c r="E1107" i="1"/>
  <c r="F1107" i="1" s="1"/>
  <c r="E1108" i="1"/>
  <c r="F1108" i="1" s="1"/>
  <c r="E1109" i="1"/>
  <c r="F1109" i="1" s="1"/>
  <c r="E1110" i="1"/>
  <c r="F1110" i="1" s="1"/>
  <c r="E1111" i="1"/>
  <c r="F1111" i="1" s="1"/>
  <c r="E1112" i="1"/>
  <c r="F1112" i="1" s="1"/>
  <c r="E1113" i="1"/>
  <c r="F1113" i="1" s="1"/>
  <c r="E1114" i="1"/>
  <c r="F1114" i="1" s="1"/>
  <c r="E1115" i="1"/>
  <c r="F1115" i="1" s="1"/>
  <c r="E1116" i="1"/>
  <c r="F1116" i="1" s="1"/>
  <c r="E1117" i="1"/>
  <c r="F1117" i="1" s="1"/>
  <c r="E1118" i="1"/>
  <c r="F1118" i="1" s="1"/>
  <c r="E1119" i="1"/>
  <c r="F1119" i="1" s="1"/>
  <c r="E1120" i="1"/>
  <c r="F1120" i="1" s="1"/>
  <c r="E1121" i="1"/>
  <c r="F1121" i="1" s="1"/>
  <c r="E1122" i="1"/>
  <c r="F1122" i="1" s="1"/>
  <c r="E1123" i="1"/>
  <c r="F1123" i="1" s="1"/>
  <c r="E1124" i="1"/>
  <c r="F1124" i="1" s="1"/>
  <c r="E1125" i="1"/>
  <c r="F1125" i="1" s="1"/>
  <c r="E1126" i="1"/>
  <c r="E1127" i="1"/>
  <c r="F1127" i="1" s="1"/>
  <c r="E1128" i="1"/>
  <c r="F1128" i="1" s="1"/>
  <c r="E1129" i="1"/>
  <c r="F1129" i="1" s="1"/>
  <c r="E1130" i="1"/>
  <c r="F1130" i="1" s="1"/>
  <c r="E1131" i="1"/>
  <c r="F1131" i="1" s="1"/>
  <c r="E1132" i="1"/>
  <c r="F1132" i="1" s="1"/>
  <c r="E1133" i="1"/>
  <c r="F1133" i="1" s="1"/>
  <c r="E1134" i="1"/>
  <c r="E1135" i="1"/>
  <c r="F1135" i="1" s="1"/>
  <c r="E1136" i="1"/>
  <c r="F1136" i="1" s="1"/>
  <c r="E1137" i="1"/>
  <c r="F1137" i="1" s="1"/>
  <c r="E1138" i="1"/>
  <c r="F1138" i="1" s="1"/>
  <c r="E1139" i="1"/>
  <c r="F1139" i="1" s="1"/>
  <c r="E1140" i="1"/>
  <c r="F1140" i="1" s="1"/>
  <c r="E1141" i="1"/>
  <c r="F1141" i="1" s="1"/>
  <c r="E1142" i="1"/>
  <c r="F1142" i="1" s="1"/>
  <c r="E1143" i="1"/>
  <c r="F1143" i="1" s="1"/>
  <c r="E1144" i="1"/>
  <c r="F1144" i="1" s="1"/>
  <c r="E1145" i="1"/>
  <c r="F1145" i="1" s="1"/>
  <c r="E1146" i="1"/>
  <c r="F1146" i="1" s="1"/>
  <c r="E1147" i="1"/>
  <c r="F1147" i="1" s="1"/>
  <c r="E1148" i="1"/>
  <c r="F1148" i="1" s="1"/>
  <c r="E1149" i="1"/>
  <c r="F1149" i="1" s="1"/>
  <c r="E1150" i="1"/>
  <c r="F1150" i="1" s="1"/>
  <c r="E1151" i="1"/>
  <c r="F1151" i="1" s="1"/>
  <c r="E1152" i="1"/>
  <c r="F1152" i="1" s="1"/>
  <c r="E1153" i="1"/>
  <c r="F1153" i="1" s="1"/>
  <c r="E1154" i="1"/>
  <c r="F1154" i="1" s="1"/>
  <c r="E1155" i="1"/>
  <c r="F1155" i="1" s="1"/>
  <c r="E1156" i="1"/>
  <c r="F1156" i="1" s="1"/>
  <c r="E1157" i="1"/>
  <c r="F1157" i="1" s="1"/>
  <c r="E1158" i="1"/>
  <c r="F1158" i="1" s="1"/>
  <c r="E1159" i="1"/>
  <c r="F1159" i="1" s="1"/>
  <c r="E1160" i="1"/>
  <c r="F1160" i="1" s="1"/>
  <c r="E1161" i="1"/>
  <c r="F1161" i="1" s="1"/>
  <c r="E1162" i="1"/>
  <c r="F1162" i="1" s="1"/>
  <c r="E1163" i="1"/>
  <c r="F1163" i="1" s="1"/>
  <c r="E1164" i="1"/>
  <c r="F1164" i="1" s="1"/>
  <c r="E1165" i="1"/>
  <c r="F1165" i="1" s="1"/>
  <c r="E1166" i="1"/>
  <c r="F1166" i="1" s="1"/>
  <c r="E1167" i="1"/>
  <c r="F1167" i="1" s="1"/>
  <c r="E1168" i="1"/>
  <c r="F1168" i="1" s="1"/>
  <c r="E1169" i="1"/>
  <c r="F1169" i="1" s="1"/>
  <c r="E1170" i="1"/>
  <c r="F1170" i="1" s="1"/>
  <c r="E1171" i="1"/>
  <c r="F1171" i="1" s="1"/>
  <c r="E1172" i="1"/>
  <c r="F1172" i="1" s="1"/>
  <c r="E1173" i="1"/>
  <c r="F1173" i="1" s="1"/>
  <c r="E1174" i="1"/>
  <c r="F1174" i="1" s="1"/>
  <c r="E1175" i="1"/>
  <c r="F1175" i="1" s="1"/>
  <c r="E1176" i="1"/>
  <c r="F1176" i="1" s="1"/>
  <c r="E1177" i="1"/>
  <c r="F1177" i="1" s="1"/>
  <c r="E1178" i="1"/>
  <c r="F1178" i="1" s="1"/>
  <c r="E1179" i="1"/>
  <c r="F1179" i="1" s="1"/>
  <c r="E1180" i="1"/>
  <c r="F1180" i="1" s="1"/>
  <c r="E1181" i="1"/>
  <c r="F1181" i="1" s="1"/>
  <c r="E1182" i="1"/>
  <c r="F1182" i="1" s="1"/>
  <c r="E1183" i="1"/>
  <c r="F1183" i="1" s="1"/>
  <c r="E1184" i="1"/>
  <c r="F1184" i="1" s="1"/>
  <c r="E1185" i="1"/>
  <c r="F1185" i="1" s="1"/>
  <c r="E1186" i="1"/>
  <c r="F1186" i="1" s="1"/>
  <c r="E1187" i="1"/>
  <c r="F1187" i="1" s="1"/>
  <c r="E1188" i="1"/>
  <c r="F1188" i="1" s="1"/>
  <c r="E1189" i="1"/>
  <c r="F1189" i="1" s="1"/>
  <c r="E1190" i="1"/>
  <c r="E1191" i="1"/>
  <c r="F1191" i="1" s="1"/>
  <c r="E1192" i="1"/>
  <c r="F1192" i="1" s="1"/>
  <c r="E1193" i="1"/>
  <c r="F1193" i="1" s="1"/>
  <c r="E1194" i="1"/>
  <c r="F1194" i="1" s="1"/>
  <c r="E1195" i="1"/>
  <c r="F1195" i="1" s="1"/>
  <c r="E1196" i="1"/>
  <c r="F1196" i="1" s="1"/>
  <c r="E1197" i="1"/>
  <c r="F1197" i="1" s="1"/>
  <c r="E1198" i="1"/>
  <c r="E1199" i="1"/>
  <c r="F1199" i="1" s="1"/>
  <c r="E1200" i="1"/>
  <c r="F1200" i="1" s="1"/>
  <c r="E1201" i="1"/>
  <c r="F1201" i="1" s="1"/>
  <c r="E1202" i="1"/>
  <c r="F1202" i="1" s="1"/>
  <c r="E1203" i="1"/>
  <c r="F1203" i="1" s="1"/>
  <c r="E1204" i="1"/>
  <c r="F1204" i="1" s="1"/>
  <c r="E1205" i="1"/>
  <c r="F1205" i="1" s="1"/>
  <c r="E1206" i="1"/>
  <c r="F1206" i="1" s="1"/>
  <c r="E1207" i="1"/>
  <c r="F1207" i="1" s="1"/>
  <c r="E1208" i="1"/>
  <c r="F1208" i="1" s="1"/>
  <c r="E1209" i="1"/>
  <c r="F1209" i="1" s="1"/>
  <c r="E1210" i="1"/>
  <c r="F1210" i="1" s="1"/>
  <c r="E1211" i="1"/>
  <c r="F1211" i="1" s="1"/>
  <c r="E1212" i="1"/>
  <c r="F1212" i="1" s="1"/>
  <c r="E1213" i="1"/>
  <c r="F1213" i="1" s="1"/>
  <c r="E1214" i="1"/>
  <c r="F1214" i="1" s="1"/>
  <c r="E1215" i="1"/>
  <c r="F1215" i="1" s="1"/>
  <c r="E1216" i="1"/>
  <c r="F1216" i="1" s="1"/>
  <c r="E1217" i="1"/>
  <c r="F1217" i="1" s="1"/>
  <c r="E1218" i="1"/>
  <c r="F1218" i="1" s="1"/>
  <c r="E1219" i="1"/>
  <c r="F1219" i="1" s="1"/>
  <c r="E1220" i="1"/>
  <c r="F1220" i="1" s="1"/>
  <c r="E1221" i="1"/>
  <c r="F1221" i="1" s="1"/>
  <c r="E1222" i="1"/>
  <c r="F1222" i="1" s="1"/>
  <c r="E1223" i="1"/>
  <c r="F1223" i="1" s="1"/>
  <c r="E1224" i="1"/>
  <c r="F1224" i="1" s="1"/>
  <c r="E1225" i="1"/>
  <c r="F1225" i="1" s="1"/>
  <c r="E1226" i="1"/>
  <c r="F1226" i="1" s="1"/>
  <c r="E1227" i="1"/>
  <c r="F1227" i="1" s="1"/>
  <c r="E1228" i="1"/>
  <c r="F1228" i="1" s="1"/>
  <c r="E1229" i="1"/>
  <c r="F1229" i="1" s="1"/>
  <c r="E1230" i="1"/>
  <c r="F1230" i="1" s="1"/>
  <c r="E1231" i="1"/>
  <c r="F1231" i="1" s="1"/>
  <c r="E1232" i="1"/>
  <c r="F1232" i="1" s="1"/>
  <c r="E1233" i="1"/>
  <c r="F1233" i="1" s="1"/>
  <c r="E1234" i="1"/>
  <c r="F1234" i="1" s="1"/>
  <c r="E1235" i="1"/>
  <c r="F1235" i="1" s="1"/>
  <c r="E1236" i="1"/>
  <c r="F1236" i="1" s="1"/>
  <c r="E1237" i="1"/>
  <c r="F1237" i="1" s="1"/>
  <c r="E1238" i="1"/>
  <c r="F1238" i="1" s="1"/>
  <c r="E1239" i="1"/>
  <c r="F1239" i="1" s="1"/>
  <c r="E1240" i="1"/>
  <c r="F1240" i="1" s="1"/>
  <c r="E1241" i="1"/>
  <c r="F1241" i="1" s="1"/>
  <c r="E1242" i="1"/>
  <c r="F1242" i="1" s="1"/>
  <c r="E1243" i="1"/>
  <c r="F1243" i="1" s="1"/>
  <c r="E1244" i="1"/>
  <c r="F1244" i="1" s="1"/>
  <c r="E1245" i="1"/>
  <c r="F1245" i="1" s="1"/>
  <c r="E1246" i="1"/>
  <c r="F1246" i="1" s="1"/>
  <c r="E1247" i="1"/>
  <c r="F1247" i="1" s="1"/>
  <c r="E1248" i="1"/>
  <c r="F1248" i="1" s="1"/>
  <c r="E1249" i="1"/>
  <c r="F1249" i="1" s="1"/>
  <c r="E1250" i="1"/>
  <c r="F1250" i="1" s="1"/>
  <c r="E1251" i="1"/>
  <c r="F1251" i="1" s="1"/>
  <c r="E1252" i="1"/>
  <c r="F1252" i="1" s="1"/>
  <c r="E1253" i="1"/>
  <c r="F1253" i="1" s="1"/>
  <c r="E1254" i="1"/>
  <c r="E1255" i="1"/>
  <c r="F1255" i="1" s="1"/>
  <c r="E1256" i="1"/>
  <c r="F1256" i="1" s="1"/>
  <c r="E1257" i="1"/>
  <c r="F1257" i="1" s="1"/>
  <c r="E1258" i="1"/>
  <c r="F1258" i="1" s="1"/>
  <c r="E1259" i="1"/>
  <c r="F1259" i="1" s="1"/>
  <c r="E1260" i="1"/>
  <c r="F1260" i="1" s="1"/>
  <c r="E1261" i="1"/>
  <c r="F1261" i="1" s="1"/>
  <c r="E1262" i="1"/>
  <c r="E1263" i="1"/>
  <c r="F1263" i="1" s="1"/>
  <c r="E1264" i="1"/>
  <c r="F1264" i="1" s="1"/>
  <c r="E1265" i="1"/>
  <c r="F1265" i="1" s="1"/>
  <c r="E1266" i="1"/>
  <c r="F1266" i="1" s="1"/>
  <c r="E1267" i="1"/>
  <c r="F1267" i="1" s="1"/>
  <c r="E1268" i="1"/>
  <c r="F1268" i="1" s="1"/>
  <c r="E1269" i="1"/>
  <c r="F1269" i="1" s="1"/>
  <c r="E1270" i="1"/>
  <c r="F1270" i="1" s="1"/>
  <c r="E1271" i="1"/>
  <c r="F1271" i="1" s="1"/>
  <c r="E1272" i="1"/>
  <c r="F1272" i="1" s="1"/>
  <c r="E1273" i="1"/>
  <c r="F1273" i="1" s="1"/>
  <c r="E1274" i="1"/>
  <c r="F1274" i="1" s="1"/>
  <c r="E1275" i="1"/>
  <c r="F1275" i="1" s="1"/>
  <c r="E1276" i="1"/>
  <c r="F1276" i="1" s="1"/>
  <c r="E1277" i="1"/>
  <c r="F1277" i="1" s="1"/>
  <c r="E1278" i="1"/>
  <c r="F1278" i="1" s="1"/>
  <c r="E1279" i="1"/>
  <c r="F1279" i="1" s="1"/>
  <c r="E1280" i="1"/>
  <c r="F1280" i="1" s="1"/>
  <c r="E1281" i="1"/>
  <c r="F1281" i="1" s="1"/>
  <c r="E1282" i="1"/>
  <c r="F1282" i="1" s="1"/>
  <c r="E1283" i="1"/>
  <c r="F1283" i="1" s="1"/>
  <c r="E1284" i="1"/>
  <c r="F1284" i="1" s="1"/>
  <c r="E1285" i="1"/>
  <c r="F1285" i="1" s="1"/>
  <c r="E1286" i="1"/>
  <c r="F1286" i="1" s="1"/>
  <c r="E1287" i="1"/>
  <c r="F1287" i="1" s="1"/>
  <c r="E1288" i="1"/>
  <c r="F1288" i="1" s="1"/>
  <c r="E1289" i="1"/>
  <c r="F1289" i="1" s="1"/>
  <c r="E1290" i="1"/>
  <c r="F1290" i="1" s="1"/>
  <c r="E1291" i="1"/>
  <c r="F1291" i="1" s="1"/>
  <c r="E1292" i="1"/>
  <c r="F1292" i="1" s="1"/>
  <c r="E1293" i="1"/>
  <c r="F1293" i="1" s="1"/>
  <c r="E1294" i="1"/>
  <c r="F1294" i="1" s="1"/>
  <c r="E1295" i="1"/>
  <c r="F1295" i="1" s="1"/>
  <c r="E1296" i="1"/>
  <c r="F1296" i="1" s="1"/>
  <c r="E1297" i="1"/>
  <c r="F1297" i="1" s="1"/>
  <c r="E1298" i="1"/>
  <c r="F1298" i="1" s="1"/>
  <c r="E1299" i="1"/>
  <c r="F1299" i="1" s="1"/>
  <c r="E1300" i="1"/>
  <c r="F1300" i="1" s="1"/>
  <c r="E1301" i="1"/>
  <c r="F1301" i="1" s="1"/>
  <c r="E1302" i="1"/>
  <c r="E1303" i="1"/>
  <c r="F1303" i="1" s="1"/>
  <c r="E1304" i="1"/>
  <c r="F1304" i="1" s="1"/>
  <c r="E1305" i="1"/>
  <c r="F1305" i="1" s="1"/>
  <c r="E1306" i="1"/>
  <c r="F1306" i="1" s="1"/>
  <c r="E1307" i="1"/>
  <c r="F1307" i="1" s="1"/>
  <c r="E1308" i="1"/>
  <c r="F1308" i="1" s="1"/>
  <c r="E1309" i="1"/>
  <c r="E1310" i="1"/>
  <c r="F1310" i="1" s="1"/>
  <c r="E1311" i="1"/>
  <c r="F1311" i="1" s="1"/>
  <c r="E1312" i="1"/>
  <c r="F1312" i="1" s="1"/>
  <c r="E1313" i="1"/>
  <c r="F1313" i="1" s="1"/>
  <c r="E1314" i="1"/>
  <c r="F1314" i="1" s="1"/>
  <c r="E1315" i="1"/>
  <c r="F1315" i="1" s="1"/>
  <c r="E1316" i="1"/>
  <c r="F1316" i="1" s="1"/>
  <c r="E1317" i="1"/>
  <c r="F1317" i="1" s="1"/>
  <c r="E1318" i="1"/>
  <c r="F1318" i="1" s="1"/>
  <c r="E1319" i="1"/>
  <c r="F1319" i="1" s="1"/>
  <c r="E1320" i="1"/>
  <c r="F1320" i="1" s="1"/>
  <c r="E1321" i="1"/>
  <c r="F1321" i="1" s="1"/>
  <c r="E1322" i="1"/>
  <c r="F1322" i="1" s="1"/>
  <c r="E1323" i="1"/>
  <c r="F1323" i="1" s="1"/>
  <c r="E1324" i="1"/>
  <c r="F1324" i="1" s="1"/>
  <c r="E1325" i="1"/>
  <c r="F1325" i="1" s="1"/>
  <c r="E1326" i="1"/>
  <c r="F1326" i="1" s="1"/>
  <c r="E1327" i="1"/>
  <c r="F1327" i="1" s="1"/>
  <c r="E1328" i="1"/>
  <c r="F1328" i="1" s="1"/>
  <c r="E1329" i="1"/>
  <c r="F1329" i="1" s="1"/>
  <c r="E1330" i="1"/>
  <c r="F1330" i="1" s="1"/>
  <c r="E1331" i="1"/>
  <c r="F1331" i="1" s="1"/>
  <c r="E1332" i="1"/>
  <c r="F1332" i="1" s="1"/>
  <c r="E1333" i="1"/>
  <c r="F1333" i="1" s="1"/>
  <c r="E1334" i="1"/>
  <c r="E1335" i="1"/>
  <c r="F1335" i="1" s="1"/>
  <c r="E1336" i="1"/>
  <c r="F1336" i="1" s="1"/>
  <c r="E1337" i="1"/>
  <c r="F1337" i="1" s="1"/>
  <c r="E1338" i="1"/>
  <c r="F1338" i="1" s="1"/>
  <c r="E1339" i="1"/>
  <c r="F1339" i="1" s="1"/>
  <c r="E1340" i="1"/>
  <c r="F1340" i="1" s="1"/>
  <c r="E1341" i="1"/>
  <c r="E1342" i="1"/>
  <c r="F1342" i="1" s="1"/>
  <c r="E1343" i="1"/>
  <c r="F1343" i="1" s="1"/>
  <c r="E1344" i="1"/>
  <c r="F1344" i="1" s="1"/>
  <c r="E1345" i="1"/>
  <c r="F1345" i="1" s="1"/>
  <c r="E1346" i="1"/>
  <c r="F1346" i="1" s="1"/>
  <c r="E1347" i="1"/>
  <c r="F1347" i="1" s="1"/>
  <c r="E1348" i="1"/>
  <c r="F1348" i="1" s="1"/>
  <c r="E1349" i="1"/>
  <c r="F1349" i="1" s="1"/>
  <c r="E1350" i="1"/>
  <c r="F1350" i="1" s="1"/>
  <c r="E1351" i="1"/>
  <c r="F1351" i="1" s="1"/>
  <c r="E1352" i="1"/>
  <c r="F1352" i="1" s="1"/>
  <c r="E1353" i="1"/>
  <c r="F1353" i="1" s="1"/>
  <c r="E1354" i="1"/>
  <c r="F1354" i="1" s="1"/>
  <c r="E1355" i="1"/>
  <c r="F1355" i="1" s="1"/>
  <c r="E1356" i="1"/>
  <c r="F1356" i="1" s="1"/>
  <c r="E1357" i="1"/>
  <c r="F1357" i="1" s="1"/>
  <c r="E1358" i="1"/>
  <c r="F1358" i="1" s="1"/>
  <c r="E1359" i="1"/>
  <c r="F1359" i="1" s="1"/>
  <c r="E1360" i="1"/>
  <c r="F1360" i="1" s="1"/>
  <c r="E1361" i="1"/>
  <c r="F1361" i="1" s="1"/>
  <c r="E1362" i="1"/>
  <c r="F1362" i="1" s="1"/>
  <c r="E1363" i="1"/>
  <c r="F1363" i="1" s="1"/>
  <c r="E1364" i="1"/>
  <c r="F1364" i="1" s="1"/>
  <c r="E1365" i="1"/>
  <c r="F1365" i="1" s="1"/>
  <c r="E1366" i="1"/>
  <c r="E1367" i="1"/>
  <c r="F1367" i="1" s="1"/>
  <c r="E1368" i="1"/>
  <c r="F1368" i="1" s="1"/>
  <c r="E1369" i="1"/>
  <c r="F1369" i="1" s="1"/>
  <c r="E1370" i="1"/>
  <c r="F1370" i="1" s="1"/>
  <c r="E1371" i="1"/>
  <c r="F1371" i="1" s="1"/>
  <c r="E1372" i="1"/>
  <c r="F1372" i="1" s="1"/>
  <c r="E1373" i="1"/>
  <c r="E1374" i="1"/>
  <c r="F1374" i="1" s="1"/>
  <c r="E1375" i="1"/>
  <c r="F1375" i="1" s="1"/>
  <c r="E1376" i="1"/>
  <c r="F1376" i="1" s="1"/>
  <c r="E1377" i="1"/>
  <c r="F1377" i="1" s="1"/>
  <c r="E1378" i="1"/>
  <c r="F1378" i="1" s="1"/>
  <c r="E1379" i="1"/>
  <c r="F1379" i="1" s="1"/>
  <c r="E1380" i="1"/>
  <c r="F1380" i="1" s="1"/>
  <c r="E1381" i="1"/>
  <c r="F1381" i="1" s="1"/>
  <c r="E1382" i="1"/>
  <c r="F1382" i="1" s="1"/>
  <c r="E1383" i="1"/>
  <c r="F1383" i="1" s="1"/>
  <c r="E1384" i="1"/>
  <c r="F1384" i="1" s="1"/>
  <c r="E1385" i="1"/>
  <c r="F1385" i="1" s="1"/>
  <c r="E1386" i="1"/>
  <c r="F1386" i="1" s="1"/>
  <c r="E1387" i="1"/>
  <c r="F1387" i="1" s="1"/>
  <c r="E1388" i="1"/>
  <c r="F1388" i="1" s="1"/>
  <c r="E1389" i="1"/>
  <c r="F1389" i="1" s="1"/>
  <c r="E1390" i="1"/>
  <c r="F1390" i="1" s="1"/>
  <c r="E1391" i="1"/>
  <c r="F1391" i="1" s="1"/>
  <c r="E1392" i="1"/>
  <c r="F1392" i="1" s="1"/>
  <c r="E1393" i="1"/>
  <c r="F1393" i="1" s="1"/>
  <c r="E1394" i="1"/>
  <c r="F1394" i="1" s="1"/>
  <c r="E1395" i="1"/>
  <c r="F1395" i="1" s="1"/>
  <c r="E1396" i="1"/>
  <c r="F1396" i="1" s="1"/>
  <c r="E1397" i="1"/>
  <c r="F1397" i="1" s="1"/>
  <c r="E1398" i="1"/>
  <c r="E1399" i="1"/>
  <c r="F1399" i="1" s="1"/>
  <c r="E1400" i="1"/>
  <c r="F1400" i="1" s="1"/>
  <c r="E1401" i="1"/>
  <c r="F1401" i="1" s="1"/>
  <c r="E1402" i="1"/>
  <c r="F1402" i="1" s="1"/>
  <c r="E1403" i="1"/>
  <c r="F1403" i="1" s="1"/>
  <c r="E1404" i="1"/>
  <c r="F1404" i="1" s="1"/>
  <c r="E1405" i="1"/>
  <c r="E1406" i="1"/>
  <c r="F1406" i="1" s="1"/>
  <c r="E1407" i="1"/>
  <c r="F1407" i="1" s="1"/>
  <c r="E1408" i="1"/>
  <c r="F1408" i="1" s="1"/>
  <c r="E1409" i="1"/>
  <c r="F1409" i="1" s="1"/>
  <c r="E1410" i="1"/>
  <c r="F1410" i="1" s="1"/>
  <c r="E1411" i="1"/>
  <c r="F1411" i="1" s="1"/>
  <c r="E1412" i="1"/>
  <c r="F1412" i="1" s="1"/>
  <c r="E1413" i="1"/>
  <c r="F1413" i="1" s="1"/>
  <c r="E1414" i="1"/>
  <c r="F1414" i="1" s="1"/>
  <c r="E1415" i="1"/>
  <c r="F1415" i="1" s="1"/>
  <c r="E1416" i="1"/>
  <c r="F1416" i="1" s="1"/>
  <c r="E1417" i="1"/>
  <c r="F1417" i="1" s="1"/>
  <c r="E1418" i="1"/>
  <c r="F1418" i="1" s="1"/>
  <c r="E1419" i="1"/>
  <c r="F1419" i="1" s="1"/>
  <c r="E1420" i="1"/>
  <c r="F1420" i="1" s="1"/>
  <c r="E1421" i="1"/>
  <c r="F1421" i="1" s="1"/>
  <c r="E1422" i="1"/>
  <c r="F1422" i="1" s="1"/>
  <c r="E1423" i="1"/>
  <c r="F1423" i="1" s="1"/>
  <c r="E1424" i="1"/>
  <c r="F1424" i="1" s="1"/>
  <c r="E1425" i="1"/>
  <c r="F1425" i="1" s="1"/>
  <c r="E1426" i="1"/>
  <c r="F1426" i="1" s="1"/>
  <c r="E1427" i="1"/>
  <c r="F1427" i="1" s="1"/>
  <c r="E1428" i="1"/>
  <c r="F1428" i="1" s="1"/>
  <c r="E1429" i="1"/>
  <c r="F1429" i="1" s="1"/>
  <c r="E1430" i="1"/>
  <c r="E1431" i="1"/>
  <c r="F1431" i="1" s="1"/>
  <c r="E1432" i="1"/>
  <c r="F1432" i="1" s="1"/>
  <c r="E1433" i="1"/>
  <c r="F1433" i="1" s="1"/>
  <c r="E1434" i="1"/>
  <c r="F1434" i="1" s="1"/>
  <c r="E1435" i="1"/>
  <c r="F1435" i="1" s="1"/>
  <c r="E1436" i="1"/>
  <c r="F1436" i="1" s="1"/>
  <c r="E1437" i="1"/>
  <c r="E1438" i="1"/>
  <c r="F1438" i="1" s="1"/>
  <c r="E1439" i="1"/>
  <c r="F1439" i="1" s="1"/>
  <c r="E1440" i="1"/>
  <c r="F1440" i="1" s="1"/>
  <c r="E1441" i="1"/>
  <c r="F1441" i="1" s="1"/>
  <c r="E1442" i="1"/>
  <c r="F1442" i="1" s="1"/>
  <c r="E1443" i="1"/>
  <c r="F1443" i="1" s="1"/>
  <c r="E1444" i="1"/>
  <c r="F1444" i="1" s="1"/>
  <c r="E1445" i="1"/>
  <c r="F1445" i="1" s="1"/>
  <c r="E1446" i="1"/>
  <c r="F1446" i="1" s="1"/>
  <c r="E1447" i="1"/>
  <c r="F1447" i="1" s="1"/>
  <c r="E1448" i="1"/>
  <c r="F1448" i="1" s="1"/>
  <c r="E1449" i="1"/>
  <c r="F1449" i="1" s="1"/>
  <c r="E1450" i="1"/>
  <c r="F1450" i="1" s="1"/>
  <c r="E1451" i="1"/>
  <c r="F1451" i="1" s="1"/>
  <c r="E1452" i="1"/>
  <c r="F1452" i="1" s="1"/>
  <c r="E1453" i="1"/>
  <c r="F1453" i="1" s="1"/>
  <c r="E1454" i="1"/>
  <c r="F1454" i="1" s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F1482" i="1" s="1"/>
  <c r="E1483" i="1"/>
  <c r="F1483" i="1" s="1"/>
  <c r="E1484" i="1"/>
  <c r="F1484" i="1" s="1"/>
  <c r="E1485" i="1"/>
  <c r="E1486" i="1"/>
  <c r="F1486" i="1" s="1"/>
  <c r="E1487" i="1"/>
  <c r="F1487" i="1" s="1"/>
  <c r="E1488" i="1"/>
  <c r="F1488" i="1" s="1"/>
  <c r="E1489" i="1"/>
  <c r="F1489" i="1" s="1"/>
  <c r="E1490" i="1"/>
  <c r="F1490" i="1" s="1"/>
  <c r="E1491" i="1"/>
  <c r="F1491" i="1" s="1"/>
  <c r="E1492" i="1"/>
  <c r="F1492" i="1" s="1"/>
  <c r="E1493" i="1"/>
  <c r="F1493" i="1" s="1"/>
  <c r="E1494" i="1"/>
  <c r="F1494" i="1" s="1"/>
  <c r="E1495" i="1"/>
  <c r="F1495" i="1" s="1"/>
  <c r="E1496" i="1"/>
  <c r="F1496" i="1" s="1"/>
  <c r="E1497" i="1"/>
  <c r="F1497" i="1" s="1"/>
  <c r="E1498" i="1"/>
  <c r="F1498" i="1" s="1"/>
  <c r="E1499" i="1"/>
  <c r="F1499" i="1" s="1"/>
  <c r="E1500" i="1"/>
  <c r="F1500" i="1" s="1"/>
  <c r="E1501" i="1"/>
  <c r="F1501" i="1" s="1"/>
  <c r="E1502" i="1"/>
  <c r="F1502" i="1" s="1"/>
  <c r="E1503" i="1"/>
  <c r="F1503" i="1" s="1"/>
  <c r="E1504" i="1"/>
  <c r="F1504" i="1" s="1"/>
  <c r="E1505" i="1"/>
  <c r="F1505" i="1" s="1"/>
  <c r="E1506" i="1"/>
  <c r="F1506" i="1" s="1"/>
  <c r="E1507" i="1"/>
  <c r="F1507" i="1" s="1"/>
  <c r="E1508" i="1"/>
  <c r="F1508" i="1" s="1"/>
  <c r="E1509" i="1"/>
  <c r="F1509" i="1" s="1"/>
  <c r="E1510" i="1"/>
  <c r="E1511" i="1"/>
  <c r="F1511" i="1" s="1"/>
  <c r="E1512" i="1"/>
  <c r="F1512" i="1" s="1"/>
  <c r="E1513" i="1"/>
  <c r="F1513" i="1" s="1"/>
  <c r="E1514" i="1"/>
  <c r="F1514" i="1" s="1"/>
  <c r="E1515" i="1"/>
  <c r="F1515" i="1" s="1"/>
  <c r="E1516" i="1"/>
  <c r="F1516" i="1" s="1"/>
  <c r="E1517" i="1"/>
  <c r="E1518" i="1"/>
  <c r="F1518" i="1" s="1"/>
  <c r="E1519" i="1"/>
  <c r="F1519" i="1" s="1"/>
  <c r="E1520" i="1"/>
  <c r="F1520" i="1" s="1"/>
  <c r="E1521" i="1"/>
  <c r="F1521" i="1" s="1"/>
  <c r="E1522" i="1"/>
  <c r="F1522" i="1" s="1"/>
  <c r="E1523" i="1"/>
  <c r="F1523" i="1" s="1"/>
  <c r="E1524" i="1"/>
  <c r="F1524" i="1" s="1"/>
  <c r="E1525" i="1"/>
  <c r="F1525" i="1" s="1"/>
  <c r="E1526" i="1"/>
  <c r="F1526" i="1" s="1"/>
  <c r="E1527" i="1"/>
  <c r="F1527" i="1" s="1"/>
  <c r="E1528" i="1"/>
  <c r="F1528" i="1" s="1"/>
  <c r="E1529" i="1"/>
  <c r="F1529" i="1" s="1"/>
  <c r="E1530" i="1"/>
  <c r="F1530" i="1" s="1"/>
  <c r="E1531" i="1"/>
  <c r="F1531" i="1" s="1"/>
  <c r="E1532" i="1"/>
  <c r="F1532" i="1" s="1"/>
  <c r="E1533" i="1"/>
  <c r="F1533" i="1" s="1"/>
  <c r="E1534" i="1"/>
  <c r="F1534" i="1" s="1"/>
  <c r="E1535" i="1"/>
  <c r="F1535" i="1" s="1"/>
  <c r="E1536" i="1"/>
  <c r="F1536" i="1" s="1"/>
  <c r="E1537" i="1"/>
  <c r="F1537" i="1" s="1"/>
  <c r="E1538" i="1"/>
  <c r="F1538" i="1" s="1"/>
  <c r="E1539" i="1"/>
  <c r="F1539" i="1" s="1"/>
  <c r="E1540" i="1"/>
  <c r="F1540" i="1" s="1"/>
  <c r="E1541" i="1"/>
  <c r="F1541" i="1" s="1"/>
  <c r="E1542" i="1"/>
  <c r="E1543" i="1"/>
  <c r="F1543" i="1" s="1"/>
  <c r="E1544" i="1"/>
  <c r="F1544" i="1" s="1"/>
  <c r="E1545" i="1"/>
  <c r="F1545" i="1" s="1"/>
  <c r="E1546" i="1"/>
  <c r="F1546" i="1" s="1"/>
  <c r="E1547" i="1"/>
  <c r="F1547" i="1" s="1"/>
  <c r="E1548" i="1"/>
  <c r="F1548" i="1" s="1"/>
  <c r="E1549" i="1"/>
  <c r="E1550" i="1"/>
  <c r="F1550" i="1" s="1"/>
  <c r="E1551" i="1"/>
  <c r="F1551" i="1" s="1"/>
  <c r="E1552" i="1"/>
  <c r="F1552" i="1" s="1"/>
  <c r="E1553" i="1"/>
  <c r="F1553" i="1" s="1"/>
  <c r="E1554" i="1"/>
  <c r="F1554" i="1" s="1"/>
  <c r="E1555" i="1"/>
  <c r="F1555" i="1" s="1"/>
  <c r="E1556" i="1"/>
  <c r="F1556" i="1" s="1"/>
  <c r="E1557" i="1"/>
  <c r="F1557" i="1" s="1"/>
  <c r="E1558" i="1"/>
  <c r="F1558" i="1" s="1"/>
  <c r="E1559" i="1"/>
  <c r="F1559" i="1" s="1"/>
  <c r="E1560" i="1"/>
  <c r="F1560" i="1" s="1"/>
  <c r="E1561" i="1"/>
  <c r="F1561" i="1" s="1"/>
  <c r="E1562" i="1"/>
  <c r="F1562" i="1" s="1"/>
  <c r="E1563" i="1"/>
  <c r="F1563" i="1" s="1"/>
  <c r="E1564" i="1"/>
  <c r="F1564" i="1" s="1"/>
  <c r="E1565" i="1"/>
  <c r="F1565" i="1" s="1"/>
  <c r="E1566" i="1"/>
  <c r="F1566" i="1" s="1"/>
  <c r="E1567" i="1"/>
  <c r="F1567" i="1" s="1"/>
  <c r="E1568" i="1"/>
  <c r="F1568" i="1" s="1"/>
  <c r="E1569" i="1"/>
  <c r="F1569" i="1" s="1"/>
  <c r="E1570" i="1"/>
  <c r="F1570" i="1" s="1"/>
  <c r="E1571" i="1"/>
  <c r="F1571" i="1" s="1"/>
  <c r="E1572" i="1"/>
  <c r="F1572" i="1" s="1"/>
  <c r="E1573" i="1"/>
  <c r="F1573" i="1" s="1"/>
  <c r="E1574" i="1"/>
  <c r="E1575" i="1"/>
  <c r="F1575" i="1" s="1"/>
  <c r="E1576" i="1"/>
  <c r="F1576" i="1" s="1"/>
  <c r="E1577" i="1"/>
  <c r="F1577" i="1" s="1"/>
  <c r="E1578" i="1"/>
  <c r="F1578" i="1" s="1"/>
  <c r="E1579" i="1"/>
  <c r="F1579" i="1" s="1"/>
  <c r="E1580" i="1"/>
  <c r="F1580" i="1" s="1"/>
  <c r="E1581" i="1"/>
  <c r="E1582" i="1"/>
  <c r="F1582" i="1" s="1"/>
  <c r="E1583" i="1"/>
  <c r="F1583" i="1" s="1"/>
  <c r="E1584" i="1"/>
  <c r="F1584" i="1" s="1"/>
  <c r="E1585" i="1"/>
  <c r="F1585" i="1" s="1"/>
  <c r="E1586" i="1"/>
  <c r="F1586" i="1" s="1"/>
  <c r="E1587" i="1"/>
  <c r="F1587" i="1" s="1"/>
  <c r="E1588" i="1"/>
  <c r="F1588" i="1" s="1"/>
  <c r="E1589" i="1"/>
  <c r="F1589" i="1" s="1"/>
  <c r="E1590" i="1"/>
  <c r="F1590" i="1" s="1"/>
  <c r="E1591" i="1"/>
  <c r="F1591" i="1" s="1"/>
  <c r="E1592" i="1"/>
  <c r="F1592" i="1" s="1"/>
  <c r="E1593" i="1"/>
  <c r="F1593" i="1" s="1"/>
  <c r="E1594" i="1"/>
  <c r="F1594" i="1" s="1"/>
  <c r="E1595" i="1"/>
  <c r="F1595" i="1" s="1"/>
  <c r="E1596" i="1"/>
  <c r="F1596" i="1" s="1"/>
  <c r="E1597" i="1"/>
  <c r="F1597" i="1" s="1"/>
  <c r="E1598" i="1"/>
  <c r="F1598" i="1" s="1"/>
  <c r="E1599" i="1"/>
  <c r="F1599" i="1" s="1"/>
  <c r="E1600" i="1"/>
  <c r="F1600" i="1" s="1"/>
  <c r="E1601" i="1"/>
  <c r="F1601" i="1" s="1"/>
  <c r="E1602" i="1"/>
  <c r="F1602" i="1" s="1"/>
  <c r="E1603" i="1"/>
  <c r="F1603" i="1" s="1"/>
  <c r="E1604" i="1"/>
  <c r="F1604" i="1" s="1"/>
  <c r="E1605" i="1"/>
  <c r="F1605" i="1" s="1"/>
  <c r="E1606" i="1"/>
  <c r="E1607" i="1"/>
  <c r="F1607" i="1" s="1"/>
  <c r="E1608" i="1"/>
  <c r="F1608" i="1" s="1"/>
  <c r="E1609" i="1"/>
  <c r="F1609" i="1" s="1"/>
  <c r="E1610" i="1"/>
  <c r="F1610" i="1" s="1"/>
  <c r="E1611" i="1"/>
  <c r="F1611" i="1" s="1"/>
  <c r="E1612" i="1"/>
  <c r="F1612" i="1" s="1"/>
  <c r="E1613" i="1"/>
  <c r="E1614" i="1"/>
  <c r="F1614" i="1" s="1"/>
  <c r="E1615" i="1"/>
  <c r="F1615" i="1" s="1"/>
  <c r="E1616" i="1"/>
  <c r="F1616" i="1" s="1"/>
  <c r="E1617" i="1"/>
  <c r="F1617" i="1" s="1"/>
  <c r="E1618" i="1"/>
  <c r="F1618" i="1" s="1"/>
  <c r="E1619" i="1"/>
  <c r="F1619" i="1" s="1"/>
  <c r="E1620" i="1"/>
  <c r="F1620" i="1" s="1"/>
  <c r="E1621" i="1"/>
  <c r="F1621" i="1" s="1"/>
  <c r="E1622" i="1"/>
  <c r="F1622" i="1" s="1"/>
  <c r="E1623" i="1"/>
  <c r="F1623" i="1" s="1"/>
  <c r="E1624" i="1"/>
  <c r="F1624" i="1" s="1"/>
  <c r="E1625" i="1"/>
  <c r="F1625" i="1" s="1"/>
  <c r="E1626" i="1"/>
  <c r="F1626" i="1" s="1"/>
  <c r="E1627" i="1"/>
  <c r="F1627" i="1" s="1"/>
  <c r="E1628" i="1"/>
  <c r="F1628" i="1" s="1"/>
  <c r="E1629" i="1"/>
  <c r="F1629" i="1" s="1"/>
  <c r="E1630" i="1"/>
  <c r="F1630" i="1" s="1"/>
  <c r="E1631" i="1"/>
  <c r="F1631" i="1" s="1"/>
  <c r="E1632" i="1"/>
  <c r="F1632" i="1" s="1"/>
  <c r="E1633" i="1"/>
  <c r="F1633" i="1" s="1"/>
  <c r="E1634" i="1"/>
  <c r="F1634" i="1" s="1"/>
  <c r="E1635" i="1"/>
  <c r="F1635" i="1" s="1"/>
  <c r="E1636" i="1"/>
  <c r="F1636" i="1" s="1"/>
  <c r="E1637" i="1"/>
  <c r="F1637" i="1" s="1"/>
  <c r="E1638" i="1"/>
  <c r="E1639" i="1"/>
  <c r="F1639" i="1" s="1"/>
  <c r="E1640" i="1"/>
  <c r="F1640" i="1" s="1"/>
  <c r="E1641" i="1"/>
  <c r="F1641" i="1" s="1"/>
  <c r="E1642" i="1"/>
  <c r="F1642" i="1" s="1"/>
  <c r="E1643" i="1"/>
  <c r="F1643" i="1" s="1"/>
  <c r="E1644" i="1"/>
  <c r="F1644" i="1" s="1"/>
  <c r="E1645" i="1"/>
  <c r="E1646" i="1"/>
  <c r="F1646" i="1" s="1"/>
  <c r="E1647" i="1"/>
  <c r="F1647" i="1" s="1"/>
  <c r="E1648" i="1"/>
  <c r="F1648" i="1" s="1"/>
  <c r="E1649" i="1"/>
  <c r="F1649" i="1" s="1"/>
  <c r="E1650" i="1"/>
  <c r="F1650" i="1" s="1"/>
  <c r="E1651" i="1"/>
  <c r="F1651" i="1" s="1"/>
  <c r="E1652" i="1"/>
  <c r="F1652" i="1" s="1"/>
  <c r="E1653" i="1"/>
  <c r="F1653" i="1" s="1"/>
  <c r="E1654" i="1"/>
  <c r="F1654" i="1" s="1"/>
  <c r="E1655" i="1"/>
  <c r="F1655" i="1" s="1"/>
  <c r="E1656" i="1"/>
  <c r="F1656" i="1" s="1"/>
  <c r="E1657" i="1"/>
  <c r="F1657" i="1" s="1"/>
  <c r="E1658" i="1"/>
  <c r="F1658" i="1" s="1"/>
  <c r="E1659" i="1"/>
  <c r="F1659" i="1" s="1"/>
  <c r="E1660" i="1"/>
  <c r="F1660" i="1" s="1"/>
  <c r="E1661" i="1"/>
  <c r="F1661" i="1" s="1"/>
  <c r="E1662" i="1"/>
  <c r="F1662" i="1" s="1"/>
  <c r="E1663" i="1"/>
  <c r="F1663" i="1" s="1"/>
  <c r="E1664" i="1"/>
  <c r="F1664" i="1" s="1"/>
  <c r="E1665" i="1"/>
  <c r="F1665" i="1" s="1"/>
  <c r="E1666" i="1"/>
  <c r="F1666" i="1" s="1"/>
  <c r="E1667" i="1"/>
  <c r="F1667" i="1" s="1"/>
  <c r="E1668" i="1"/>
  <c r="F1668" i="1" s="1"/>
  <c r="E1669" i="1"/>
  <c r="F1669" i="1" s="1"/>
  <c r="E1670" i="1"/>
  <c r="E1671" i="1"/>
  <c r="F1671" i="1" s="1"/>
  <c r="E1672" i="1"/>
  <c r="F1672" i="1" s="1"/>
  <c r="E1673" i="1"/>
  <c r="F1673" i="1" s="1"/>
  <c r="E1674" i="1"/>
  <c r="F1674" i="1" s="1"/>
  <c r="E1675" i="1"/>
  <c r="F1675" i="1" s="1"/>
  <c r="E1676" i="1"/>
  <c r="F1676" i="1" s="1"/>
  <c r="E1677" i="1"/>
  <c r="E1678" i="1"/>
  <c r="F1678" i="1" s="1"/>
  <c r="E1679" i="1"/>
  <c r="F1679" i="1" s="1"/>
  <c r="E1680" i="1"/>
  <c r="F1680" i="1" s="1"/>
  <c r="E1681" i="1"/>
  <c r="F1681" i="1" s="1"/>
  <c r="E1682" i="1"/>
  <c r="F1682" i="1" s="1"/>
  <c r="E1683" i="1"/>
  <c r="F1683" i="1" s="1"/>
  <c r="E1684" i="1"/>
  <c r="F1684" i="1" s="1"/>
  <c r="E1685" i="1"/>
  <c r="F1685" i="1" s="1"/>
  <c r="E1686" i="1"/>
  <c r="F1686" i="1" s="1"/>
  <c r="E1687" i="1"/>
  <c r="F1687" i="1" s="1"/>
  <c r="E1688" i="1"/>
  <c r="F1688" i="1" s="1"/>
  <c r="E1689" i="1"/>
  <c r="F1689" i="1" s="1"/>
  <c r="E1690" i="1"/>
  <c r="F1690" i="1" s="1"/>
  <c r="E1691" i="1"/>
  <c r="F1691" i="1" s="1"/>
  <c r="E1692" i="1"/>
  <c r="F1692" i="1" s="1"/>
  <c r="E1693" i="1"/>
  <c r="F1693" i="1" s="1"/>
  <c r="E1694" i="1"/>
  <c r="F1694" i="1" s="1"/>
  <c r="E1695" i="1"/>
  <c r="F1695" i="1" s="1"/>
  <c r="E1696" i="1"/>
  <c r="F1696" i="1" s="1"/>
  <c r="E1697" i="1"/>
  <c r="F1697" i="1" s="1"/>
  <c r="E1698" i="1"/>
  <c r="F1698" i="1" s="1"/>
  <c r="E1699" i="1"/>
  <c r="F1699" i="1" s="1"/>
  <c r="E1700" i="1"/>
  <c r="F1700" i="1" s="1"/>
  <c r="E1701" i="1"/>
  <c r="F1701" i="1" s="1"/>
  <c r="E1702" i="1"/>
  <c r="E1703" i="1"/>
  <c r="F1703" i="1" s="1"/>
  <c r="E1704" i="1"/>
  <c r="F1704" i="1" s="1"/>
  <c r="E1705" i="1"/>
  <c r="F1705" i="1" s="1"/>
  <c r="E1706" i="1"/>
  <c r="F1706" i="1" s="1"/>
  <c r="E1707" i="1"/>
  <c r="F1707" i="1" s="1"/>
  <c r="E1708" i="1"/>
  <c r="F1708" i="1" s="1"/>
  <c r="E1709" i="1"/>
  <c r="E1710" i="1"/>
  <c r="F1710" i="1" s="1"/>
  <c r="E1711" i="1"/>
  <c r="F1711" i="1" s="1"/>
  <c r="E1712" i="1"/>
  <c r="F1712" i="1" s="1"/>
  <c r="E1713" i="1"/>
  <c r="F1713" i="1" s="1"/>
  <c r="E1714" i="1"/>
  <c r="F1714" i="1" s="1"/>
  <c r="E1715" i="1"/>
  <c r="F1715" i="1" s="1"/>
  <c r="E1716" i="1"/>
  <c r="F1716" i="1" s="1"/>
  <c r="E1717" i="1"/>
  <c r="F1717" i="1" s="1"/>
  <c r="E1718" i="1"/>
  <c r="F1718" i="1" s="1"/>
  <c r="E1719" i="1"/>
  <c r="F1719" i="1" s="1"/>
  <c r="E1720" i="1"/>
  <c r="F1720" i="1" s="1"/>
  <c r="E1721" i="1"/>
  <c r="F1721" i="1" s="1"/>
  <c r="E1722" i="1"/>
  <c r="F1722" i="1" s="1"/>
  <c r="E1723" i="1"/>
  <c r="F1723" i="1" s="1"/>
  <c r="E1724" i="1"/>
  <c r="F1724" i="1" s="1"/>
  <c r="E1725" i="1"/>
  <c r="F1725" i="1" s="1"/>
  <c r="E1726" i="1"/>
  <c r="F1726" i="1" s="1"/>
  <c r="E1727" i="1"/>
  <c r="F1727" i="1" s="1"/>
  <c r="E1728" i="1"/>
  <c r="F1728" i="1" s="1"/>
  <c r="E1729" i="1"/>
  <c r="F1729" i="1" s="1"/>
  <c r="E1730" i="1"/>
  <c r="F1730" i="1" s="1"/>
  <c r="E1731" i="1"/>
  <c r="F1731" i="1" s="1"/>
  <c r="E1732" i="1"/>
  <c r="F1732" i="1" s="1"/>
  <c r="E1733" i="1"/>
  <c r="F1733" i="1" s="1"/>
  <c r="E1734" i="1"/>
  <c r="E1735" i="1"/>
  <c r="F1735" i="1" s="1"/>
  <c r="E1736" i="1"/>
  <c r="F1736" i="1" s="1"/>
  <c r="E1737" i="1"/>
  <c r="F1737" i="1" s="1"/>
  <c r="E1738" i="1"/>
  <c r="F1738" i="1" s="1"/>
  <c r="E1739" i="1"/>
  <c r="F1739" i="1" s="1"/>
  <c r="E1740" i="1"/>
  <c r="F1740" i="1" s="1"/>
  <c r="E1741" i="1"/>
  <c r="E1742" i="1"/>
  <c r="F1742" i="1" s="1"/>
  <c r="E1743" i="1"/>
  <c r="F1743" i="1" s="1"/>
  <c r="E1744" i="1"/>
  <c r="F1744" i="1" s="1"/>
  <c r="E1745" i="1"/>
  <c r="F1745" i="1" s="1"/>
  <c r="E1746" i="1"/>
  <c r="F1746" i="1" s="1"/>
  <c r="E1747" i="1"/>
  <c r="F1747" i="1" s="1"/>
  <c r="E1748" i="1"/>
  <c r="F1748" i="1" s="1"/>
  <c r="E1749" i="1"/>
  <c r="F1749" i="1" s="1"/>
  <c r="E1750" i="1"/>
  <c r="F1750" i="1" s="1"/>
  <c r="E1751" i="1"/>
  <c r="F1751" i="1" s="1"/>
  <c r="E1752" i="1"/>
  <c r="F1752" i="1" s="1"/>
  <c r="E1753" i="1"/>
  <c r="F1753" i="1" s="1"/>
  <c r="E1754" i="1"/>
  <c r="F1754" i="1" s="1"/>
  <c r="E1755" i="1"/>
  <c r="F1755" i="1" s="1"/>
  <c r="E1756" i="1"/>
  <c r="F1756" i="1" s="1"/>
  <c r="E1757" i="1"/>
  <c r="F1757" i="1" s="1"/>
  <c r="E1758" i="1"/>
  <c r="F1758" i="1" s="1"/>
  <c r="E1759" i="1"/>
  <c r="F1759" i="1" s="1"/>
  <c r="E1760" i="1"/>
  <c r="F1760" i="1" s="1"/>
  <c r="E1761" i="1"/>
  <c r="F1761" i="1" s="1"/>
  <c r="E1762" i="1"/>
  <c r="F1762" i="1" s="1"/>
  <c r="E1763" i="1"/>
  <c r="F1763" i="1" s="1"/>
  <c r="E1764" i="1"/>
  <c r="F1764" i="1" s="1"/>
  <c r="E1765" i="1"/>
  <c r="F1765" i="1" s="1"/>
  <c r="E1766" i="1"/>
  <c r="E1767" i="1"/>
  <c r="F1767" i="1" s="1"/>
  <c r="E1768" i="1"/>
  <c r="F1768" i="1" s="1"/>
  <c r="E1769" i="1"/>
  <c r="F1769" i="1" s="1"/>
  <c r="E1770" i="1"/>
  <c r="F1770" i="1" s="1"/>
  <c r="E1771" i="1"/>
  <c r="F1771" i="1" s="1"/>
  <c r="E1772" i="1"/>
  <c r="F1772" i="1" s="1"/>
  <c r="E1773" i="1"/>
  <c r="E1774" i="1"/>
  <c r="F1774" i="1" s="1"/>
  <c r="E1775" i="1"/>
  <c r="F1775" i="1" s="1"/>
  <c r="E1776" i="1"/>
  <c r="F1776" i="1" s="1"/>
  <c r="E1777" i="1"/>
  <c r="F1777" i="1" s="1"/>
  <c r="E1778" i="1"/>
  <c r="F1778" i="1" s="1"/>
  <c r="E1779" i="1"/>
  <c r="F1779" i="1" s="1"/>
  <c r="E1780" i="1"/>
  <c r="F1780" i="1" s="1"/>
  <c r="E1781" i="1"/>
  <c r="F1781" i="1" s="1"/>
  <c r="E1782" i="1"/>
  <c r="F1782" i="1" s="1"/>
  <c r="E1783" i="1"/>
  <c r="F1783" i="1" s="1"/>
  <c r="E1784" i="1"/>
  <c r="F1784" i="1" s="1"/>
  <c r="E1785" i="1"/>
  <c r="F1785" i="1" s="1"/>
  <c r="E1786" i="1"/>
  <c r="F1786" i="1" s="1"/>
  <c r="E1787" i="1"/>
  <c r="F1787" i="1" s="1"/>
  <c r="E1788" i="1"/>
  <c r="F1788" i="1" s="1"/>
  <c r="E1789" i="1"/>
  <c r="F1789" i="1" s="1"/>
  <c r="E1790" i="1"/>
  <c r="F1790" i="1" s="1"/>
  <c r="E1791" i="1"/>
  <c r="F1791" i="1" s="1"/>
  <c r="E1792" i="1"/>
  <c r="F1792" i="1" s="1"/>
  <c r="E1793" i="1"/>
  <c r="F1793" i="1" s="1"/>
  <c r="E1794" i="1"/>
  <c r="F1794" i="1" s="1"/>
  <c r="E1795" i="1"/>
  <c r="F1795" i="1" s="1"/>
  <c r="E1796" i="1"/>
  <c r="F1796" i="1" s="1"/>
  <c r="E1797" i="1"/>
  <c r="F1797" i="1" s="1"/>
  <c r="E1798" i="1"/>
  <c r="E1799" i="1"/>
  <c r="E1800" i="1"/>
  <c r="E1801" i="1"/>
  <c r="E1802" i="1"/>
  <c r="E1803" i="1"/>
  <c r="E4" i="1"/>
  <c r="E3" i="1"/>
  <c r="G4" i="1"/>
  <c r="F4" i="1"/>
  <c r="F3" i="1"/>
  <c r="J3" i="1" s="1"/>
  <c r="G3" i="1"/>
  <c r="K3" i="1" s="1"/>
</calcChain>
</file>

<file path=xl/sharedStrings.xml><?xml version="1.0" encoding="utf-8"?>
<sst xmlns="http://schemas.openxmlformats.org/spreadsheetml/2006/main" count="1825" uniqueCount="24">
  <si>
    <r>
      <t>P</t>
    </r>
    <r>
      <rPr>
        <sz val="11"/>
        <color theme="1"/>
        <rFont val="Calibri"/>
        <family val="2"/>
        <scheme val="minor"/>
      </rPr>
      <t>hase</t>
    </r>
  </si>
  <si>
    <r>
      <t>T</t>
    </r>
    <r>
      <rPr>
        <sz val="11"/>
        <color theme="1"/>
        <rFont val="Calibri"/>
        <family val="2"/>
        <scheme val="minor"/>
      </rPr>
      <t>otal</t>
    </r>
    <r>
      <rPr>
        <sz val="10"/>
        <rFont val="Arial"/>
        <family val="2"/>
      </rPr>
      <t xml:space="preserve"> elapsed time</t>
    </r>
  </si>
  <si>
    <r>
      <t>P</t>
    </r>
    <r>
      <rPr>
        <sz val="11"/>
        <color theme="1"/>
        <rFont val="Calibri"/>
        <family val="2"/>
        <scheme val="minor"/>
      </rPr>
      <t xml:space="preserve">hase </t>
    </r>
    <r>
      <rPr>
        <sz val="10"/>
        <rFont val="Arial"/>
        <family val="2"/>
      </rPr>
      <t>elapsed time</t>
    </r>
  </si>
  <si>
    <t>s</t>
    <phoneticPr fontId="0"/>
  </si>
  <si>
    <t>km/h</t>
  </si>
  <si>
    <t>m/s²</t>
  </si>
  <si>
    <t>Low</t>
    <phoneticPr fontId="0"/>
  </si>
  <si>
    <t>Middle</t>
    <phoneticPr fontId="0"/>
  </si>
  <si>
    <t>High</t>
    <phoneticPr fontId="0"/>
  </si>
  <si>
    <t>Extra-high</t>
    <phoneticPr fontId="0"/>
  </si>
  <si>
    <t>Wheel torque</t>
  </si>
  <si>
    <t>Wheel rotation</t>
  </si>
  <si>
    <t>Nm</t>
  </si>
  <si>
    <t>rpm</t>
  </si>
  <si>
    <t>Vehicle acceleration</t>
  </si>
  <si>
    <t>Vehicle speed</t>
  </si>
  <si>
    <t>Нм</t>
  </si>
  <si>
    <t>об/мин</t>
  </si>
  <si>
    <t>Момент на ГП</t>
  </si>
  <si>
    <t>Обороты на колесе 1 ГП</t>
  </si>
  <si>
    <t>Доли</t>
  </si>
  <si>
    <t>%</t>
  </si>
  <si>
    <t>Опорные обороты</t>
  </si>
  <si>
    <t>опорный момент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</si>
</sst>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0" fillId="6" borderId="1" xfId="0" applyNumberFormat="1" applyFill="1" applyBorder="1"/>
    <xf numFmtId="0" fontId="0" fillId="6" borderId="1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vertical="center"/>
    </xf>
    <xf numFmtId="2" fontId="1" fillId="2" borderId="1" xfId="0" applyNumberFormat="1" applyFont="1" applyFill="1" applyBorder="1" applyAlignment="1">
      <alignment vertical="center"/>
    </xf>
    <xf numFmtId="2" fontId="1" fillId="3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/>
    </xf>
    <xf numFmtId="2" fontId="1" fillId="5" borderId="1" xfId="0" applyNumberFormat="1" applyFont="1" applyFill="1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3"/>
  <sheetViews>
    <sheetView tabSelected="1" workbookViewId="0">
      <selection activeCell="R16" sqref="R16"/>
    </sheetView>
  </sheetViews>
  <sheetFormatPr defaultRowHeight="14.5" x14ac:dyDescent="0.35"/>
  <cols>
    <col min="4" max="4" width="8.7265625" style="1"/>
    <col min="5" max="5" width="10.90625" style="1" customWidth="1"/>
    <col min="13" max="13" width="8.6328125" bestFit="1" customWidth="1"/>
    <col min="14" max="14" width="10.54296875" customWidth="1"/>
  </cols>
  <sheetData>
    <row r="1" spans="1:14" ht="58" x14ac:dyDescent="0.35">
      <c r="A1" s="9" t="s">
        <v>0</v>
      </c>
      <c r="B1" s="9" t="s">
        <v>1</v>
      </c>
      <c r="C1" s="9" t="s">
        <v>2</v>
      </c>
      <c r="D1" s="11" t="s">
        <v>15</v>
      </c>
      <c r="E1" s="12" t="s">
        <v>14</v>
      </c>
      <c r="F1" s="9" t="s">
        <v>10</v>
      </c>
      <c r="G1" s="9" t="s">
        <v>11</v>
      </c>
      <c r="I1" s="19" t="s">
        <v>20</v>
      </c>
      <c r="J1" s="19" t="s">
        <v>18</v>
      </c>
      <c r="K1" s="19" t="s">
        <v>19</v>
      </c>
      <c r="M1" s="19" t="s">
        <v>23</v>
      </c>
      <c r="N1" s="19" t="s">
        <v>22</v>
      </c>
    </row>
    <row r="2" spans="1:14" x14ac:dyDescent="0.35">
      <c r="A2" s="9" t="s">
        <v>0</v>
      </c>
      <c r="B2" s="9" t="s">
        <v>3</v>
      </c>
      <c r="C2" s="9" t="s">
        <v>3</v>
      </c>
      <c r="D2" s="12" t="s">
        <v>4</v>
      </c>
      <c r="E2" s="12" t="s">
        <v>5</v>
      </c>
      <c r="F2" s="9" t="s">
        <v>12</v>
      </c>
      <c r="G2" s="9" t="s">
        <v>13</v>
      </c>
      <c r="I2" s="20" t="s">
        <v>21</v>
      </c>
      <c r="J2" s="20" t="s">
        <v>16</v>
      </c>
      <c r="K2" s="20" t="s">
        <v>17</v>
      </c>
      <c r="M2" s="20" t="s">
        <v>16</v>
      </c>
      <c r="N2" s="20" t="s">
        <v>17</v>
      </c>
    </row>
    <row r="3" spans="1:14" x14ac:dyDescent="0.35">
      <c r="A3" s="10" t="s">
        <v>6</v>
      </c>
      <c r="B3" s="10">
        <v>0</v>
      </c>
      <c r="C3" s="10">
        <v>0</v>
      </c>
      <c r="D3" s="13">
        <v>0</v>
      </c>
      <c r="E3" s="7">
        <f>($D4-0)/2/3.6</f>
        <v>0</v>
      </c>
      <c r="F3" s="8">
        <f>IF(D3=0,0,MAX(0,0.285*(1600*E3 + 1600*9.81*0.015 + 0.5*1.225*0.32*2.2*(D3/3.6)^2)))</f>
        <v>0</v>
      </c>
      <c r="G3" s="8">
        <f>60*D3/(2*PI()*3.6*0.285)</f>
        <v>0</v>
      </c>
      <c r="I3" s="18">
        <f>1/1800</f>
        <v>5.5555555555555556E-4</v>
      </c>
      <c r="J3" s="18">
        <f>F3/3.6</f>
        <v>0</v>
      </c>
      <c r="K3" s="18">
        <f>G3*3.6</f>
        <v>0</v>
      </c>
      <c r="M3">
        <v>200</v>
      </c>
      <c r="N3">
        <v>1500</v>
      </c>
    </row>
    <row r="4" spans="1:14" x14ac:dyDescent="0.35">
      <c r="A4" s="2" t="s">
        <v>6</v>
      </c>
      <c r="B4" s="2">
        <v>1</v>
      </c>
      <c r="C4" s="2">
        <v>1</v>
      </c>
      <c r="D4" s="14">
        <v>0</v>
      </c>
      <c r="E4" s="1">
        <f>($D5-$D3)/2/3.6</f>
        <v>0</v>
      </c>
      <c r="F4">
        <f>IF(D4=0,0,MAX(0,0.285*(1600*E4 + 1600*9.81*0.015 + 0.5*1.225*0.32*2.2*(D4/3.6)^2)))</f>
        <v>0</v>
      </c>
      <c r="G4">
        <f>60*D4/(2*PI()*3.6*0.285)</f>
        <v>0</v>
      </c>
      <c r="I4">
        <f>1/1800</f>
        <v>5.5555555555555556E-4</v>
      </c>
      <c r="J4">
        <f>F4/(M$3*3.6)</f>
        <v>0</v>
      </c>
      <c r="K4">
        <f>G4*3.6/N$3</f>
        <v>0</v>
      </c>
    </row>
    <row r="5" spans="1:14" x14ac:dyDescent="0.35">
      <c r="A5" s="2" t="s">
        <v>6</v>
      </c>
      <c r="B5" s="2">
        <v>2</v>
      </c>
      <c r="C5" s="2">
        <v>2</v>
      </c>
      <c r="D5" s="14">
        <v>0</v>
      </c>
      <c r="E5" s="1">
        <f t="shared" ref="E5:E68" si="0">($D6-$D4)/2/3.6</f>
        <v>0</v>
      </c>
      <c r="F5">
        <f t="shared" ref="F5:F68" si="1">IF(D5=0,0,MAX(0,0.285*(1600*E5 + 1600*9.81*0.015 + 0.5*1.225*0.32*2.2*(D5/3.6)^2)))</f>
        <v>0</v>
      </c>
      <c r="G5">
        <f t="shared" ref="G5:G68" si="2">60*D5/(2*PI()*3.6*0.285)</f>
        <v>0</v>
      </c>
      <c r="I5">
        <f t="shared" ref="I5:I68" si="3">1/1800</f>
        <v>5.5555555555555556E-4</v>
      </c>
      <c r="J5">
        <f t="shared" ref="J5:J68" si="4">F5/(M$3*3.6)</f>
        <v>0</v>
      </c>
      <c r="K5">
        <f t="shared" ref="K5:K68" si="5">G5*3.6/N$3</f>
        <v>0</v>
      </c>
    </row>
    <row r="6" spans="1:14" x14ac:dyDescent="0.35">
      <c r="A6" s="2" t="s">
        <v>6</v>
      </c>
      <c r="B6" s="2">
        <v>3</v>
      </c>
      <c r="C6" s="2">
        <v>3</v>
      </c>
      <c r="D6" s="14">
        <v>0</v>
      </c>
      <c r="E6" s="1">
        <f t="shared" si="0"/>
        <v>0</v>
      </c>
      <c r="F6">
        <f t="shared" si="1"/>
        <v>0</v>
      </c>
      <c r="G6">
        <f t="shared" si="2"/>
        <v>0</v>
      </c>
      <c r="I6">
        <f t="shared" si="3"/>
        <v>5.5555555555555556E-4</v>
      </c>
      <c r="J6">
        <f t="shared" si="4"/>
        <v>0</v>
      </c>
      <c r="K6">
        <f t="shared" si="5"/>
        <v>0</v>
      </c>
    </row>
    <row r="7" spans="1:14" x14ac:dyDescent="0.35">
      <c r="A7" s="2" t="s">
        <v>6</v>
      </c>
      <c r="B7" s="2">
        <v>4</v>
      </c>
      <c r="C7" s="2">
        <v>4</v>
      </c>
      <c r="D7" s="14">
        <v>0</v>
      </c>
      <c r="E7" s="1">
        <f t="shared" si="0"/>
        <v>0</v>
      </c>
      <c r="F7">
        <f t="shared" si="1"/>
        <v>0</v>
      </c>
      <c r="G7">
        <f t="shared" si="2"/>
        <v>0</v>
      </c>
      <c r="I7">
        <f t="shared" si="3"/>
        <v>5.5555555555555556E-4</v>
      </c>
      <c r="J7">
        <f t="shared" si="4"/>
        <v>0</v>
      </c>
      <c r="K7">
        <f t="shared" si="5"/>
        <v>0</v>
      </c>
    </row>
    <row r="8" spans="1:14" x14ac:dyDescent="0.35">
      <c r="A8" s="2" t="s">
        <v>6</v>
      </c>
      <c r="B8" s="2">
        <v>5</v>
      </c>
      <c r="C8" s="2">
        <v>5</v>
      </c>
      <c r="D8" s="14">
        <v>0</v>
      </c>
      <c r="E8" s="1">
        <f t="shared" si="0"/>
        <v>0</v>
      </c>
      <c r="F8">
        <f t="shared" si="1"/>
        <v>0</v>
      </c>
      <c r="G8">
        <f t="shared" si="2"/>
        <v>0</v>
      </c>
      <c r="I8">
        <f t="shared" si="3"/>
        <v>5.5555555555555556E-4</v>
      </c>
      <c r="J8">
        <f t="shared" si="4"/>
        <v>0</v>
      </c>
      <c r="K8">
        <f t="shared" si="5"/>
        <v>0</v>
      </c>
    </row>
    <row r="9" spans="1:14" x14ac:dyDescent="0.35">
      <c r="A9" s="2" t="s">
        <v>6</v>
      </c>
      <c r="B9" s="2">
        <v>6</v>
      </c>
      <c r="C9" s="2">
        <v>6</v>
      </c>
      <c r="D9" s="14">
        <v>0</v>
      </c>
      <c r="E9" s="1">
        <f t="shared" si="0"/>
        <v>0</v>
      </c>
      <c r="F9">
        <f t="shared" si="1"/>
        <v>0</v>
      </c>
      <c r="G9">
        <f t="shared" si="2"/>
        <v>0</v>
      </c>
      <c r="I9">
        <f t="shared" si="3"/>
        <v>5.5555555555555556E-4</v>
      </c>
      <c r="J9">
        <f t="shared" si="4"/>
        <v>0</v>
      </c>
      <c r="K9">
        <f t="shared" si="5"/>
        <v>0</v>
      </c>
    </row>
    <row r="10" spans="1:14" x14ac:dyDescent="0.35">
      <c r="A10" s="2" t="s">
        <v>6</v>
      </c>
      <c r="B10" s="2">
        <v>7</v>
      </c>
      <c r="C10" s="2">
        <v>7</v>
      </c>
      <c r="D10" s="14">
        <v>0</v>
      </c>
      <c r="E10" s="1">
        <f t="shared" si="0"/>
        <v>0</v>
      </c>
      <c r="F10">
        <f t="shared" si="1"/>
        <v>0</v>
      </c>
      <c r="G10">
        <f t="shared" si="2"/>
        <v>0</v>
      </c>
      <c r="I10">
        <f t="shared" si="3"/>
        <v>5.5555555555555556E-4</v>
      </c>
      <c r="J10">
        <f t="shared" si="4"/>
        <v>0</v>
      </c>
      <c r="K10">
        <f t="shared" si="5"/>
        <v>0</v>
      </c>
    </row>
    <row r="11" spans="1:14" x14ac:dyDescent="0.35">
      <c r="A11" s="2" t="s">
        <v>6</v>
      </c>
      <c r="B11" s="2">
        <v>8</v>
      </c>
      <c r="C11" s="2">
        <v>8</v>
      </c>
      <c r="D11" s="14">
        <v>0</v>
      </c>
      <c r="E11" s="1">
        <f t="shared" si="0"/>
        <v>0</v>
      </c>
      <c r="F11">
        <f t="shared" si="1"/>
        <v>0</v>
      </c>
      <c r="G11">
        <f t="shared" si="2"/>
        <v>0</v>
      </c>
      <c r="I11">
        <f t="shared" si="3"/>
        <v>5.5555555555555556E-4</v>
      </c>
      <c r="J11">
        <f t="shared" si="4"/>
        <v>0</v>
      </c>
      <c r="K11">
        <f t="shared" si="5"/>
        <v>0</v>
      </c>
    </row>
    <row r="12" spans="1:14" x14ac:dyDescent="0.35">
      <c r="A12" s="2" t="s">
        <v>6</v>
      </c>
      <c r="B12" s="2">
        <v>9</v>
      </c>
      <c r="C12" s="2">
        <v>9</v>
      </c>
      <c r="D12" s="14">
        <v>0</v>
      </c>
      <c r="E12" s="1">
        <f t="shared" si="0"/>
        <v>0</v>
      </c>
      <c r="F12">
        <f t="shared" si="1"/>
        <v>0</v>
      </c>
      <c r="G12">
        <f t="shared" si="2"/>
        <v>0</v>
      </c>
      <c r="I12">
        <f t="shared" si="3"/>
        <v>5.5555555555555556E-4</v>
      </c>
      <c r="J12">
        <f t="shared" si="4"/>
        <v>0</v>
      </c>
      <c r="K12">
        <f t="shared" si="5"/>
        <v>0</v>
      </c>
    </row>
    <row r="13" spans="1:14" x14ac:dyDescent="0.35">
      <c r="A13" s="2" t="s">
        <v>6</v>
      </c>
      <c r="B13" s="2">
        <v>10</v>
      </c>
      <c r="C13" s="2">
        <v>10</v>
      </c>
      <c r="D13" s="14">
        <v>0</v>
      </c>
      <c r="E13" s="1">
        <f t="shared" si="0"/>
        <v>0</v>
      </c>
      <c r="F13">
        <f t="shared" si="1"/>
        <v>0</v>
      </c>
      <c r="G13">
        <f t="shared" si="2"/>
        <v>0</v>
      </c>
      <c r="I13">
        <f t="shared" si="3"/>
        <v>5.5555555555555556E-4</v>
      </c>
      <c r="J13">
        <f t="shared" si="4"/>
        <v>0</v>
      </c>
      <c r="K13">
        <f t="shared" si="5"/>
        <v>0</v>
      </c>
    </row>
    <row r="14" spans="1:14" x14ac:dyDescent="0.35">
      <c r="A14" s="2" t="s">
        <v>6</v>
      </c>
      <c r="B14" s="2">
        <v>11</v>
      </c>
      <c r="C14" s="2">
        <v>11</v>
      </c>
      <c r="D14" s="14">
        <v>0</v>
      </c>
      <c r="E14" s="1">
        <f t="shared" si="0"/>
        <v>2.777777777777778E-2</v>
      </c>
      <c r="F14">
        <f t="shared" si="1"/>
        <v>0</v>
      </c>
      <c r="G14">
        <f t="shared" si="2"/>
        <v>0</v>
      </c>
      <c r="I14">
        <f t="shared" si="3"/>
        <v>5.5555555555555556E-4</v>
      </c>
      <c r="J14">
        <f t="shared" si="4"/>
        <v>0</v>
      </c>
      <c r="K14">
        <f t="shared" si="5"/>
        <v>0</v>
      </c>
    </row>
    <row r="15" spans="1:14" x14ac:dyDescent="0.35">
      <c r="A15" s="2" t="s">
        <v>6</v>
      </c>
      <c r="B15" s="2">
        <v>12</v>
      </c>
      <c r="C15" s="2">
        <v>12</v>
      </c>
      <c r="D15" s="14">
        <v>0.2</v>
      </c>
      <c r="E15" s="1">
        <f t="shared" si="0"/>
        <v>0.2361111111111111</v>
      </c>
      <c r="F15">
        <f t="shared" si="1"/>
        <v>174.76744596296294</v>
      </c>
      <c r="G15">
        <f t="shared" si="2"/>
        <v>1.8614613227122263</v>
      </c>
      <c r="I15">
        <f t="shared" si="3"/>
        <v>5.5555555555555556E-4</v>
      </c>
      <c r="J15">
        <f t="shared" si="4"/>
        <v>0.24273256383744851</v>
      </c>
      <c r="K15">
        <f t="shared" si="5"/>
        <v>4.4675071745093435E-3</v>
      </c>
    </row>
    <row r="16" spans="1:14" x14ac:dyDescent="0.35">
      <c r="A16" s="2" t="s">
        <v>6</v>
      </c>
      <c r="B16" s="2">
        <v>13</v>
      </c>
      <c r="C16" s="2">
        <v>13</v>
      </c>
      <c r="D16" s="14">
        <v>1.7</v>
      </c>
      <c r="E16" s="1">
        <f t="shared" si="0"/>
        <v>0.72222222222222221</v>
      </c>
      <c r="F16">
        <f t="shared" si="1"/>
        <v>396.46113749074067</v>
      </c>
      <c r="G16">
        <f t="shared" si="2"/>
        <v>15.822421243053924</v>
      </c>
      <c r="I16">
        <f t="shared" si="3"/>
        <v>5.5555555555555556E-4</v>
      </c>
      <c r="J16">
        <f t="shared" si="4"/>
        <v>0.55064046873713979</v>
      </c>
      <c r="K16">
        <f t="shared" si="5"/>
        <v>3.7973810983329422E-2</v>
      </c>
    </row>
    <row r="17" spans="1:11" x14ac:dyDescent="0.35">
      <c r="A17" s="2" t="s">
        <v>6</v>
      </c>
      <c r="B17" s="2">
        <v>14</v>
      </c>
      <c r="C17" s="2">
        <v>14</v>
      </c>
      <c r="D17" s="14">
        <v>5.4</v>
      </c>
      <c r="E17" s="1">
        <f t="shared" si="0"/>
        <v>1.1388888888888891</v>
      </c>
      <c r="F17">
        <f t="shared" si="1"/>
        <v>586.71024033333333</v>
      </c>
      <c r="G17">
        <f t="shared" si="2"/>
        <v>50.259455713230111</v>
      </c>
      <c r="I17">
        <f t="shared" si="3"/>
        <v>5.5555555555555556E-4</v>
      </c>
      <c r="J17">
        <f t="shared" si="4"/>
        <v>0.81487533379629629</v>
      </c>
      <c r="K17">
        <f t="shared" si="5"/>
        <v>0.12062269371175227</v>
      </c>
    </row>
    <row r="18" spans="1:11" x14ac:dyDescent="0.35">
      <c r="A18" s="2" t="s">
        <v>6</v>
      </c>
      <c r="B18" s="2">
        <v>15</v>
      </c>
      <c r="C18" s="2">
        <v>15</v>
      </c>
      <c r="D18" s="14">
        <v>9.9</v>
      </c>
      <c r="E18" s="1">
        <f t="shared" si="0"/>
        <v>1.0694444444444444</v>
      </c>
      <c r="F18">
        <f t="shared" si="1"/>
        <v>555.69643741666664</v>
      </c>
      <c r="G18">
        <f t="shared" si="2"/>
        <v>92.142335474255205</v>
      </c>
      <c r="I18">
        <f t="shared" si="3"/>
        <v>5.5555555555555556E-4</v>
      </c>
      <c r="J18">
        <f t="shared" si="4"/>
        <v>0.77180060752314816</v>
      </c>
      <c r="K18">
        <f t="shared" si="5"/>
        <v>0.22114160513821249</v>
      </c>
    </row>
    <row r="19" spans="1:11" x14ac:dyDescent="0.35">
      <c r="A19" s="2" t="s">
        <v>6</v>
      </c>
      <c r="B19" s="2">
        <v>16</v>
      </c>
      <c r="C19" s="2">
        <v>16</v>
      </c>
      <c r="D19" s="14">
        <v>13.1</v>
      </c>
      <c r="E19" s="1">
        <f t="shared" si="0"/>
        <v>0.97222222222222199</v>
      </c>
      <c r="F19">
        <f t="shared" si="1"/>
        <v>512.06100926851843</v>
      </c>
      <c r="G19">
        <f t="shared" si="2"/>
        <v>121.92571663765082</v>
      </c>
      <c r="I19">
        <f t="shared" si="3"/>
        <v>5.5555555555555556E-4</v>
      </c>
      <c r="J19">
        <f t="shared" si="4"/>
        <v>0.71119584620627563</v>
      </c>
      <c r="K19">
        <f t="shared" si="5"/>
        <v>0.29262171993036196</v>
      </c>
    </row>
    <row r="20" spans="1:11" x14ac:dyDescent="0.35">
      <c r="A20" s="2" t="s">
        <v>6</v>
      </c>
      <c r="B20" s="2">
        <v>17</v>
      </c>
      <c r="C20" s="2">
        <v>17</v>
      </c>
      <c r="D20" s="14">
        <v>16.899999999999999</v>
      </c>
      <c r="E20" s="1">
        <f t="shared" si="0"/>
        <v>1.1944444444444444</v>
      </c>
      <c r="F20">
        <f t="shared" si="1"/>
        <v>614.4753370462962</v>
      </c>
      <c r="G20">
        <f t="shared" si="2"/>
        <v>157.2934817691831</v>
      </c>
      <c r="I20">
        <f t="shared" si="3"/>
        <v>5.5555555555555556E-4</v>
      </c>
      <c r="J20">
        <f t="shared" si="4"/>
        <v>0.85343796811985584</v>
      </c>
      <c r="K20">
        <f t="shared" si="5"/>
        <v>0.37750435624603945</v>
      </c>
    </row>
    <row r="21" spans="1:11" x14ac:dyDescent="0.35">
      <c r="A21" s="2" t="s">
        <v>6</v>
      </c>
      <c r="B21" s="2">
        <v>18</v>
      </c>
      <c r="C21" s="2">
        <v>18</v>
      </c>
      <c r="D21" s="14">
        <v>21.7</v>
      </c>
      <c r="E21" s="1">
        <f t="shared" si="0"/>
        <v>1.2638888888888891</v>
      </c>
      <c r="F21">
        <f t="shared" si="1"/>
        <v>647.8989041574074</v>
      </c>
      <c r="G21">
        <f t="shared" si="2"/>
        <v>201.96855351427655</v>
      </c>
      <c r="I21">
        <f t="shared" si="3"/>
        <v>5.5555555555555556E-4</v>
      </c>
      <c r="J21">
        <f t="shared" si="4"/>
        <v>0.89985958910751029</v>
      </c>
      <c r="K21">
        <f t="shared" si="5"/>
        <v>0.48472452843426372</v>
      </c>
    </row>
    <row r="22" spans="1:11" x14ac:dyDescent="0.35">
      <c r="A22" s="2" t="s">
        <v>6</v>
      </c>
      <c r="B22" s="2">
        <v>19</v>
      </c>
      <c r="C22" s="2">
        <v>19</v>
      </c>
      <c r="D22" s="14">
        <v>26</v>
      </c>
      <c r="E22" s="1">
        <f t="shared" si="0"/>
        <v>0.80555555555555558</v>
      </c>
      <c r="F22">
        <f t="shared" si="1"/>
        <v>440.84384074074075</v>
      </c>
      <c r="G22">
        <f t="shared" si="2"/>
        <v>241.98997195258943</v>
      </c>
      <c r="I22">
        <f t="shared" si="3"/>
        <v>5.5555555555555556E-4</v>
      </c>
      <c r="J22">
        <f t="shared" si="4"/>
        <v>0.61228311213991771</v>
      </c>
      <c r="K22">
        <f t="shared" si="5"/>
        <v>0.58077593268621464</v>
      </c>
    </row>
    <row r="23" spans="1:11" x14ac:dyDescent="0.35">
      <c r="A23" s="2" t="s">
        <v>6</v>
      </c>
      <c r="B23" s="2">
        <v>20</v>
      </c>
      <c r="C23" s="2">
        <v>20</v>
      </c>
      <c r="D23" s="14">
        <v>27.5</v>
      </c>
      <c r="E23" s="1">
        <f t="shared" si="0"/>
        <v>0.29166666666666685</v>
      </c>
      <c r="F23">
        <f t="shared" si="1"/>
        <v>207.27147060185195</v>
      </c>
      <c r="G23">
        <f t="shared" si="2"/>
        <v>255.95093187293111</v>
      </c>
      <c r="I23">
        <f t="shared" si="3"/>
        <v>5.5555555555555556E-4</v>
      </c>
      <c r="J23">
        <f t="shared" si="4"/>
        <v>0.28787704250257212</v>
      </c>
      <c r="K23">
        <f t="shared" si="5"/>
        <v>0.61428223649503466</v>
      </c>
    </row>
    <row r="24" spans="1:11" x14ac:dyDescent="0.35">
      <c r="A24" s="2" t="s">
        <v>6</v>
      </c>
      <c r="B24" s="2">
        <v>21</v>
      </c>
      <c r="C24" s="2">
        <v>21</v>
      </c>
      <c r="D24" s="14">
        <v>28.1</v>
      </c>
      <c r="E24" s="1">
        <f t="shared" si="0"/>
        <v>0.1111111111111112</v>
      </c>
      <c r="F24">
        <f t="shared" si="1"/>
        <v>125.25447037962965</v>
      </c>
      <c r="G24">
        <f t="shared" si="2"/>
        <v>261.53531584106781</v>
      </c>
      <c r="I24">
        <f t="shared" si="3"/>
        <v>5.5555555555555556E-4</v>
      </c>
      <c r="J24">
        <f t="shared" si="4"/>
        <v>0.17396454219393007</v>
      </c>
      <c r="K24">
        <f t="shared" si="5"/>
        <v>0.62768475801856272</v>
      </c>
    </row>
    <row r="25" spans="1:11" x14ac:dyDescent="0.35">
      <c r="A25" s="2" t="s">
        <v>6</v>
      </c>
      <c r="B25" s="2">
        <v>22</v>
      </c>
      <c r="C25" s="2">
        <v>22</v>
      </c>
      <c r="D25" s="14">
        <v>28.3</v>
      </c>
      <c r="E25" s="1">
        <f t="shared" si="0"/>
        <v>9.7222222222222127E-2</v>
      </c>
      <c r="F25">
        <f t="shared" si="1"/>
        <v>119.0280986018518</v>
      </c>
      <c r="G25">
        <f t="shared" si="2"/>
        <v>263.39677716378003</v>
      </c>
      <c r="I25">
        <f t="shared" si="3"/>
        <v>5.5555555555555556E-4</v>
      </c>
      <c r="J25">
        <f t="shared" si="4"/>
        <v>0.16531680361368306</v>
      </c>
      <c r="K25">
        <f t="shared" si="5"/>
        <v>0.6321522651930721</v>
      </c>
    </row>
    <row r="26" spans="1:11" x14ac:dyDescent="0.35">
      <c r="A26" s="2" t="s">
        <v>6</v>
      </c>
      <c r="B26" s="2">
        <v>23</v>
      </c>
      <c r="C26" s="2">
        <v>23</v>
      </c>
      <c r="D26" s="14">
        <v>28.8</v>
      </c>
      <c r="E26" s="1">
        <f t="shared" si="0"/>
        <v>0.1111111111111112</v>
      </c>
      <c r="F26">
        <f t="shared" si="1"/>
        <v>125.63215466666669</v>
      </c>
      <c r="G26">
        <f t="shared" si="2"/>
        <v>268.05043047056057</v>
      </c>
      <c r="I26">
        <f t="shared" si="3"/>
        <v>5.5555555555555556E-4</v>
      </c>
      <c r="J26">
        <f t="shared" si="4"/>
        <v>0.17448910370370374</v>
      </c>
      <c r="K26">
        <f t="shared" si="5"/>
        <v>0.64332103312934541</v>
      </c>
    </row>
    <row r="27" spans="1:11" x14ac:dyDescent="0.35">
      <c r="A27" s="2" t="s">
        <v>6</v>
      </c>
      <c r="B27" s="2">
        <v>24</v>
      </c>
      <c r="C27" s="2">
        <v>24</v>
      </c>
      <c r="D27" s="14">
        <v>29.1</v>
      </c>
      <c r="E27" s="1">
        <f t="shared" si="0"/>
        <v>0.27777777777777779</v>
      </c>
      <c r="F27">
        <f t="shared" si="1"/>
        <v>201.7968640833333</v>
      </c>
      <c r="G27">
        <f t="shared" si="2"/>
        <v>270.84262245462895</v>
      </c>
      <c r="I27">
        <f t="shared" si="3"/>
        <v>5.5555555555555556E-4</v>
      </c>
      <c r="J27">
        <f t="shared" si="4"/>
        <v>0.28027342233796293</v>
      </c>
      <c r="K27">
        <f t="shared" si="5"/>
        <v>0.65002229389110944</v>
      </c>
    </row>
    <row r="28" spans="1:11" x14ac:dyDescent="0.35">
      <c r="A28" s="2" t="s">
        <v>6</v>
      </c>
      <c r="B28" s="2">
        <v>25</v>
      </c>
      <c r="C28" s="2">
        <v>25</v>
      </c>
      <c r="D28" s="14">
        <v>30.8</v>
      </c>
      <c r="E28" s="1">
        <f t="shared" si="0"/>
        <v>0.38888888888888851</v>
      </c>
      <c r="F28">
        <f t="shared" si="1"/>
        <v>253.4291242962961</v>
      </c>
      <c r="G28">
        <f t="shared" si="2"/>
        <v>286.66504369768285</v>
      </c>
      <c r="I28">
        <f t="shared" si="3"/>
        <v>5.5555555555555556E-4</v>
      </c>
      <c r="J28">
        <f t="shared" si="4"/>
        <v>0.35198489485596679</v>
      </c>
      <c r="K28">
        <f t="shared" si="5"/>
        <v>0.68799610487443885</v>
      </c>
    </row>
    <row r="29" spans="1:11" x14ac:dyDescent="0.35">
      <c r="A29" s="2" t="s">
        <v>6</v>
      </c>
      <c r="B29" s="2">
        <v>26</v>
      </c>
      <c r="C29" s="2">
        <v>26</v>
      </c>
      <c r="D29" s="14">
        <v>31.9</v>
      </c>
      <c r="E29" s="1">
        <f t="shared" si="0"/>
        <v>0.45833333333333343</v>
      </c>
      <c r="F29">
        <f t="shared" si="1"/>
        <v>285.74979260185188</v>
      </c>
      <c r="G29">
        <f t="shared" si="2"/>
        <v>296.90308097260009</v>
      </c>
      <c r="I29">
        <f t="shared" si="3"/>
        <v>5.5555555555555556E-4</v>
      </c>
      <c r="J29">
        <f t="shared" si="4"/>
        <v>0.39687471194701651</v>
      </c>
      <c r="K29">
        <f t="shared" si="5"/>
        <v>0.71256739433424021</v>
      </c>
    </row>
    <row r="30" spans="1:11" x14ac:dyDescent="0.35">
      <c r="A30" s="2" t="s">
        <v>6</v>
      </c>
      <c r="B30" s="2">
        <v>27</v>
      </c>
      <c r="C30" s="2">
        <v>27</v>
      </c>
      <c r="D30" s="14">
        <v>34.1</v>
      </c>
      <c r="E30" s="1">
        <f t="shared" si="0"/>
        <v>0.65277777777777812</v>
      </c>
      <c r="F30">
        <f t="shared" si="1"/>
        <v>375.79330482407426</v>
      </c>
      <c r="G30">
        <f t="shared" si="2"/>
        <v>317.37915552243459</v>
      </c>
      <c r="I30">
        <f t="shared" si="3"/>
        <v>5.5555555555555556E-4</v>
      </c>
      <c r="J30">
        <f t="shared" si="4"/>
        <v>0.52193514558899201</v>
      </c>
      <c r="K30">
        <f t="shared" si="5"/>
        <v>0.76170997325384304</v>
      </c>
    </row>
    <row r="31" spans="1:11" x14ac:dyDescent="0.35">
      <c r="A31" s="2" t="s">
        <v>6</v>
      </c>
      <c r="B31" s="2">
        <v>28</v>
      </c>
      <c r="C31" s="2">
        <v>28</v>
      </c>
      <c r="D31" s="14">
        <v>36.6</v>
      </c>
      <c r="E31" s="1">
        <f t="shared" si="0"/>
        <v>0.69444444444444442</v>
      </c>
      <c r="F31">
        <f t="shared" si="1"/>
        <v>396.46932033333331</v>
      </c>
      <c r="G31">
        <f t="shared" si="2"/>
        <v>340.6474220563374</v>
      </c>
      <c r="I31">
        <f t="shared" si="3"/>
        <v>5.5555555555555556E-4</v>
      </c>
      <c r="J31">
        <f t="shared" si="4"/>
        <v>0.55065183379629623</v>
      </c>
      <c r="K31">
        <f t="shared" si="5"/>
        <v>0.8175538129352099</v>
      </c>
    </row>
    <row r="32" spans="1:11" x14ac:dyDescent="0.35">
      <c r="A32" s="2" t="s">
        <v>6</v>
      </c>
      <c r="B32" s="2">
        <v>29</v>
      </c>
      <c r="C32" s="2">
        <v>29</v>
      </c>
      <c r="D32" s="14">
        <v>39.1</v>
      </c>
      <c r="E32" s="1">
        <f t="shared" si="0"/>
        <v>0.65277777777777712</v>
      </c>
      <c r="F32">
        <f t="shared" si="1"/>
        <v>379.26386593518487</v>
      </c>
      <c r="G32">
        <f t="shared" si="2"/>
        <v>363.91568859024022</v>
      </c>
      <c r="I32">
        <f t="shared" si="3"/>
        <v>5.5555555555555556E-4</v>
      </c>
      <c r="J32">
        <f t="shared" si="4"/>
        <v>0.52675536935442346</v>
      </c>
      <c r="K32">
        <f t="shared" si="5"/>
        <v>0.87339765261657654</v>
      </c>
    </row>
    <row r="33" spans="1:11" x14ac:dyDescent="0.35">
      <c r="A33" s="2" t="s">
        <v>6</v>
      </c>
      <c r="B33" s="2">
        <v>30</v>
      </c>
      <c r="C33" s="2">
        <v>30</v>
      </c>
      <c r="D33" s="14">
        <v>41.3</v>
      </c>
      <c r="E33" s="1">
        <f t="shared" si="0"/>
        <v>0.47222222222222199</v>
      </c>
      <c r="F33">
        <f t="shared" si="1"/>
        <v>298.60778082407393</v>
      </c>
      <c r="G33">
        <f t="shared" si="2"/>
        <v>384.39176314007472</v>
      </c>
      <c r="I33">
        <f t="shared" si="3"/>
        <v>5.5555555555555556E-4</v>
      </c>
      <c r="J33">
        <f t="shared" si="4"/>
        <v>0.41473302892232489</v>
      </c>
      <c r="K33">
        <f t="shared" si="5"/>
        <v>0.92254023153617937</v>
      </c>
    </row>
    <row r="34" spans="1:11" x14ac:dyDescent="0.35">
      <c r="A34" s="2" t="s">
        <v>6</v>
      </c>
      <c r="B34" s="2">
        <v>31</v>
      </c>
      <c r="C34" s="2">
        <v>31</v>
      </c>
      <c r="D34" s="14">
        <v>42.5</v>
      </c>
      <c r="E34" s="1">
        <f t="shared" si="0"/>
        <v>0.27777777777777779</v>
      </c>
      <c r="F34">
        <f t="shared" si="1"/>
        <v>210.89466504629627</v>
      </c>
      <c r="G34">
        <f t="shared" si="2"/>
        <v>395.56053107634807</v>
      </c>
      <c r="I34">
        <f t="shared" si="3"/>
        <v>5.5555555555555556E-4</v>
      </c>
      <c r="J34">
        <f t="shared" si="4"/>
        <v>0.29290925700874482</v>
      </c>
      <c r="K34">
        <f t="shared" si="5"/>
        <v>0.94934527458323537</v>
      </c>
    </row>
    <row r="35" spans="1:11" x14ac:dyDescent="0.35">
      <c r="A35" s="2" t="s">
        <v>6</v>
      </c>
      <c r="B35" s="2">
        <v>32</v>
      </c>
      <c r="C35" s="2">
        <v>32</v>
      </c>
      <c r="D35" s="14">
        <v>43.3</v>
      </c>
      <c r="E35" s="1">
        <f t="shared" si="0"/>
        <v>0.19444444444444425</v>
      </c>
      <c r="F35">
        <f t="shared" si="1"/>
        <v>173.54553749074063</v>
      </c>
      <c r="G35">
        <f t="shared" si="2"/>
        <v>403.00637636719699</v>
      </c>
      <c r="I35">
        <f t="shared" si="3"/>
        <v>5.5555555555555556E-4</v>
      </c>
      <c r="J35">
        <f t="shared" si="4"/>
        <v>0.24103546873713977</v>
      </c>
      <c r="K35">
        <f t="shared" si="5"/>
        <v>0.96721530328127281</v>
      </c>
    </row>
    <row r="36" spans="1:11" x14ac:dyDescent="0.35">
      <c r="A36" s="2" t="s">
        <v>6</v>
      </c>
      <c r="B36" s="2">
        <v>33</v>
      </c>
      <c r="C36" s="2">
        <v>33</v>
      </c>
      <c r="D36" s="14">
        <v>43.9</v>
      </c>
      <c r="E36" s="1">
        <f t="shared" si="0"/>
        <v>0.15277777777777798</v>
      </c>
      <c r="F36">
        <f t="shared" si="1"/>
        <v>155.04165704629639</v>
      </c>
      <c r="G36">
        <f t="shared" si="2"/>
        <v>408.5907603353337</v>
      </c>
      <c r="I36">
        <f t="shared" si="3"/>
        <v>5.5555555555555556E-4</v>
      </c>
      <c r="J36">
        <f t="shared" si="4"/>
        <v>0.21533563478652276</v>
      </c>
      <c r="K36">
        <f t="shared" si="5"/>
        <v>0.98061782480480086</v>
      </c>
    </row>
    <row r="37" spans="1:11" x14ac:dyDescent="0.35">
      <c r="A37" s="2" t="s">
        <v>6</v>
      </c>
      <c r="B37" s="2">
        <v>34</v>
      </c>
      <c r="C37" s="2">
        <v>34</v>
      </c>
      <c r="D37" s="14">
        <v>44.4</v>
      </c>
      <c r="E37" s="1">
        <f t="shared" si="0"/>
        <v>8.3333333333333523E-2</v>
      </c>
      <c r="F37">
        <f t="shared" si="1"/>
        <v>123.79363866666674</v>
      </c>
      <c r="G37">
        <f t="shared" si="2"/>
        <v>413.24441364211424</v>
      </c>
      <c r="I37">
        <f t="shared" si="3"/>
        <v>5.5555555555555556E-4</v>
      </c>
      <c r="J37">
        <f t="shared" si="4"/>
        <v>0.17193560925925935</v>
      </c>
      <c r="K37">
        <f t="shared" si="5"/>
        <v>0.99178659274107428</v>
      </c>
    </row>
    <row r="38" spans="1:11" x14ac:dyDescent="0.35">
      <c r="A38" s="2" t="s">
        <v>6</v>
      </c>
      <c r="B38" s="2">
        <v>35</v>
      </c>
      <c r="C38" s="2">
        <v>35</v>
      </c>
      <c r="D38" s="14">
        <v>44.5</v>
      </c>
      <c r="E38" s="1">
        <f t="shared" si="0"/>
        <v>-2.7777777777777186E-2</v>
      </c>
      <c r="F38">
        <f t="shared" si="1"/>
        <v>73.211270601852107</v>
      </c>
      <c r="G38">
        <f t="shared" si="2"/>
        <v>414.17514430347035</v>
      </c>
      <c r="I38">
        <f t="shared" si="3"/>
        <v>5.5555555555555556E-4</v>
      </c>
      <c r="J38">
        <f t="shared" si="4"/>
        <v>0.10168232028035015</v>
      </c>
      <c r="K38">
        <f t="shared" si="5"/>
        <v>0.99402034632832892</v>
      </c>
    </row>
    <row r="39" spans="1:11" x14ac:dyDescent="0.35">
      <c r="A39" s="2" t="s">
        <v>6</v>
      </c>
      <c r="B39" s="2">
        <v>36</v>
      </c>
      <c r="C39" s="2">
        <v>36</v>
      </c>
      <c r="D39" s="14">
        <v>44.2</v>
      </c>
      <c r="E39" s="1">
        <f t="shared" si="0"/>
        <v>-0.24999999999999961</v>
      </c>
      <c r="F39">
        <f t="shared" si="1"/>
        <v>0</v>
      </c>
      <c r="G39">
        <f t="shared" si="2"/>
        <v>411.38295231940202</v>
      </c>
      <c r="I39">
        <f t="shared" si="3"/>
        <v>5.5555555555555556E-4</v>
      </c>
      <c r="J39">
        <f t="shared" si="4"/>
        <v>0</v>
      </c>
      <c r="K39">
        <f t="shared" si="5"/>
        <v>0.98731908556656478</v>
      </c>
    </row>
    <row r="40" spans="1:11" x14ac:dyDescent="0.35">
      <c r="A40" s="2" t="s">
        <v>6</v>
      </c>
      <c r="B40" s="2">
        <v>37</v>
      </c>
      <c r="C40" s="2">
        <v>37</v>
      </c>
      <c r="D40" s="14">
        <v>42.7</v>
      </c>
      <c r="E40" s="1">
        <f t="shared" si="0"/>
        <v>-0.59722222222222276</v>
      </c>
      <c r="F40">
        <f t="shared" si="1"/>
        <v>0</v>
      </c>
      <c r="G40">
        <f t="shared" si="2"/>
        <v>397.42199239906034</v>
      </c>
      <c r="I40">
        <f t="shared" si="3"/>
        <v>5.5555555555555556E-4</v>
      </c>
      <c r="J40">
        <f t="shared" si="4"/>
        <v>0</v>
      </c>
      <c r="K40">
        <f t="shared" si="5"/>
        <v>0.95381278175774487</v>
      </c>
    </row>
    <row r="41" spans="1:11" x14ac:dyDescent="0.35">
      <c r="A41" s="2" t="s">
        <v>6</v>
      </c>
      <c r="B41" s="2">
        <v>38</v>
      </c>
      <c r="C41" s="2">
        <v>38</v>
      </c>
      <c r="D41" s="14">
        <v>39.9</v>
      </c>
      <c r="E41" s="1">
        <f t="shared" si="0"/>
        <v>-0.79166666666666707</v>
      </c>
      <c r="F41">
        <f t="shared" si="1"/>
        <v>0</v>
      </c>
      <c r="G41">
        <f t="shared" si="2"/>
        <v>371.36153388108914</v>
      </c>
      <c r="I41">
        <f t="shared" si="3"/>
        <v>5.5555555555555556E-4</v>
      </c>
      <c r="J41">
        <f t="shared" si="4"/>
        <v>0</v>
      </c>
      <c r="K41">
        <f t="shared" si="5"/>
        <v>0.89126768131461409</v>
      </c>
    </row>
    <row r="42" spans="1:11" x14ac:dyDescent="0.35">
      <c r="A42" s="2" t="s">
        <v>6</v>
      </c>
      <c r="B42" s="2">
        <v>39</v>
      </c>
      <c r="C42" s="2">
        <v>39</v>
      </c>
      <c r="D42" s="14">
        <v>37</v>
      </c>
      <c r="E42" s="1">
        <f t="shared" si="0"/>
        <v>-0.73611111111111072</v>
      </c>
      <c r="F42">
        <f t="shared" si="1"/>
        <v>0</v>
      </c>
      <c r="G42">
        <f t="shared" si="2"/>
        <v>344.37034470176189</v>
      </c>
      <c r="I42">
        <f t="shared" si="3"/>
        <v>5.5555555555555556E-4</v>
      </c>
      <c r="J42">
        <f t="shared" si="4"/>
        <v>0</v>
      </c>
      <c r="K42">
        <f t="shared" si="5"/>
        <v>0.82648882728422857</v>
      </c>
    </row>
    <row r="43" spans="1:11" x14ac:dyDescent="0.35">
      <c r="A43" s="2" t="s">
        <v>6</v>
      </c>
      <c r="B43" s="2">
        <v>40</v>
      </c>
      <c r="C43" s="2">
        <v>40</v>
      </c>
      <c r="D43" s="14">
        <v>34.6</v>
      </c>
      <c r="E43" s="1">
        <f t="shared" si="0"/>
        <v>-0.65277777777777812</v>
      </c>
      <c r="F43">
        <f t="shared" si="1"/>
        <v>0</v>
      </c>
      <c r="G43">
        <f t="shared" si="2"/>
        <v>322.03280882921513</v>
      </c>
      <c r="I43">
        <f t="shared" si="3"/>
        <v>5.5555555555555556E-4</v>
      </c>
      <c r="J43">
        <f t="shared" si="4"/>
        <v>0</v>
      </c>
      <c r="K43">
        <f t="shared" si="5"/>
        <v>0.77287874119011635</v>
      </c>
    </row>
    <row r="44" spans="1:11" x14ac:dyDescent="0.35">
      <c r="A44" s="2" t="s">
        <v>6</v>
      </c>
      <c r="B44" s="2">
        <v>41</v>
      </c>
      <c r="C44" s="2">
        <v>41</v>
      </c>
      <c r="D44" s="14">
        <v>32.299999999999997</v>
      </c>
      <c r="E44" s="1">
        <f t="shared" si="0"/>
        <v>-0.7777777777777779</v>
      </c>
      <c r="F44">
        <f t="shared" si="1"/>
        <v>0</v>
      </c>
      <c r="G44">
        <f t="shared" si="2"/>
        <v>300.62600361802453</v>
      </c>
      <c r="I44">
        <f t="shared" si="3"/>
        <v>5.5555555555555556E-4</v>
      </c>
      <c r="J44">
        <f t="shared" si="4"/>
        <v>0</v>
      </c>
      <c r="K44">
        <f t="shared" si="5"/>
        <v>0.72150240868325899</v>
      </c>
    </row>
    <row r="45" spans="1:11" x14ac:dyDescent="0.35">
      <c r="A45" s="2" t="s">
        <v>6</v>
      </c>
      <c r="B45" s="2">
        <v>42</v>
      </c>
      <c r="C45" s="2">
        <v>42</v>
      </c>
      <c r="D45" s="14">
        <v>29</v>
      </c>
      <c r="E45" s="1">
        <f t="shared" si="0"/>
        <v>-0.99999999999999933</v>
      </c>
      <c r="F45">
        <f t="shared" si="1"/>
        <v>0</v>
      </c>
      <c r="G45">
        <f t="shared" si="2"/>
        <v>269.91189179327284</v>
      </c>
      <c r="I45">
        <f t="shared" si="3"/>
        <v>5.5555555555555556E-4</v>
      </c>
      <c r="J45">
        <f t="shared" si="4"/>
        <v>0</v>
      </c>
      <c r="K45">
        <f t="shared" si="5"/>
        <v>0.6477885403038548</v>
      </c>
    </row>
    <row r="46" spans="1:11" x14ac:dyDescent="0.35">
      <c r="A46" s="2" t="s">
        <v>6</v>
      </c>
      <c r="B46" s="2">
        <v>43</v>
      </c>
      <c r="C46" s="2">
        <v>43</v>
      </c>
      <c r="D46" s="14">
        <v>25.1</v>
      </c>
      <c r="E46" s="1">
        <f t="shared" si="0"/>
        <v>-0.94444444444444453</v>
      </c>
      <c r="F46">
        <f t="shared" si="1"/>
        <v>0</v>
      </c>
      <c r="G46">
        <f t="shared" si="2"/>
        <v>233.6133960003844</v>
      </c>
      <c r="I46">
        <f t="shared" si="3"/>
        <v>5.5555555555555556E-4</v>
      </c>
      <c r="J46">
        <f t="shared" si="4"/>
        <v>0</v>
      </c>
      <c r="K46">
        <f t="shared" si="5"/>
        <v>0.56067215040092255</v>
      </c>
    </row>
    <row r="47" spans="1:11" x14ac:dyDescent="0.35">
      <c r="A47" s="2" t="s">
        <v>6</v>
      </c>
      <c r="B47" s="2">
        <v>44</v>
      </c>
      <c r="C47" s="2">
        <v>44</v>
      </c>
      <c r="D47" s="14">
        <v>22.2</v>
      </c>
      <c r="E47" s="1">
        <f t="shared" si="0"/>
        <v>-0.5833333333333337</v>
      </c>
      <c r="F47">
        <f t="shared" si="1"/>
        <v>0</v>
      </c>
      <c r="G47">
        <f t="shared" si="2"/>
        <v>206.62220682105712</v>
      </c>
      <c r="I47">
        <f t="shared" si="3"/>
        <v>5.5555555555555556E-4</v>
      </c>
      <c r="J47">
        <f t="shared" si="4"/>
        <v>0</v>
      </c>
      <c r="K47">
        <f t="shared" si="5"/>
        <v>0.49589329637053714</v>
      </c>
    </row>
    <row r="48" spans="1:11" x14ac:dyDescent="0.35">
      <c r="A48" s="2" t="s">
        <v>6</v>
      </c>
      <c r="B48" s="2">
        <v>45</v>
      </c>
      <c r="C48" s="2">
        <v>45</v>
      </c>
      <c r="D48" s="14">
        <v>20.9</v>
      </c>
      <c r="E48" s="1">
        <f t="shared" si="0"/>
        <v>-0.25000000000000011</v>
      </c>
      <c r="F48">
        <f t="shared" si="1"/>
        <v>0</v>
      </c>
      <c r="G48">
        <f t="shared" si="2"/>
        <v>194.52270822342766</v>
      </c>
      <c r="I48">
        <f t="shared" si="3"/>
        <v>5.5555555555555556E-4</v>
      </c>
      <c r="J48">
        <f t="shared" si="4"/>
        <v>0</v>
      </c>
      <c r="K48">
        <f t="shared" si="5"/>
        <v>0.46685449973622639</v>
      </c>
    </row>
    <row r="49" spans="1:11" x14ac:dyDescent="0.35">
      <c r="A49" s="2" t="s">
        <v>6</v>
      </c>
      <c r="B49" s="2">
        <v>46</v>
      </c>
      <c r="C49" s="2">
        <v>46</v>
      </c>
      <c r="D49" s="14">
        <v>20.399999999999999</v>
      </c>
      <c r="E49" s="1">
        <f t="shared" si="0"/>
        <v>-0.19444444444444425</v>
      </c>
      <c r="F49">
        <f t="shared" si="1"/>
        <v>0</v>
      </c>
      <c r="G49">
        <f t="shared" si="2"/>
        <v>189.86905491664709</v>
      </c>
      <c r="I49">
        <f t="shared" si="3"/>
        <v>5.5555555555555556E-4</v>
      </c>
      <c r="J49">
        <f t="shared" si="4"/>
        <v>0</v>
      </c>
      <c r="K49">
        <f t="shared" si="5"/>
        <v>0.45568573179995298</v>
      </c>
    </row>
    <row r="50" spans="1:11" x14ac:dyDescent="0.35">
      <c r="A50" s="2" t="s">
        <v>6</v>
      </c>
      <c r="B50" s="2">
        <v>47</v>
      </c>
      <c r="C50" s="2">
        <v>47</v>
      </c>
      <c r="D50" s="14">
        <v>19.5</v>
      </c>
      <c r="E50" s="1">
        <f t="shared" si="0"/>
        <v>-0.27777777777777779</v>
      </c>
      <c r="F50">
        <f t="shared" si="1"/>
        <v>0</v>
      </c>
      <c r="G50">
        <f t="shared" si="2"/>
        <v>181.49247896444206</v>
      </c>
      <c r="I50">
        <f t="shared" si="3"/>
        <v>5.5555555555555556E-4</v>
      </c>
      <c r="J50">
        <f t="shared" si="4"/>
        <v>0</v>
      </c>
      <c r="K50">
        <f t="shared" si="5"/>
        <v>0.43558194951466095</v>
      </c>
    </row>
    <row r="51" spans="1:11" x14ac:dyDescent="0.35">
      <c r="A51" s="2" t="s">
        <v>6</v>
      </c>
      <c r="B51" s="2">
        <v>48</v>
      </c>
      <c r="C51" s="2">
        <v>48</v>
      </c>
      <c r="D51" s="14">
        <v>18.399999999999999</v>
      </c>
      <c r="E51" s="1">
        <f t="shared" si="0"/>
        <v>-0.23611111111111099</v>
      </c>
      <c r="F51">
        <f t="shared" si="1"/>
        <v>0</v>
      </c>
      <c r="G51">
        <f t="shared" si="2"/>
        <v>171.25444168952481</v>
      </c>
      <c r="I51">
        <f t="shared" si="3"/>
        <v>5.5555555555555556E-4</v>
      </c>
      <c r="J51">
        <f t="shared" si="4"/>
        <v>0</v>
      </c>
      <c r="K51">
        <f t="shared" si="5"/>
        <v>0.41101066005485959</v>
      </c>
    </row>
    <row r="52" spans="1:11" x14ac:dyDescent="0.35">
      <c r="A52" s="2" t="s">
        <v>6</v>
      </c>
      <c r="B52" s="2">
        <v>49</v>
      </c>
      <c r="C52" s="2">
        <v>49</v>
      </c>
      <c r="D52" s="14">
        <v>17.8</v>
      </c>
      <c r="E52" s="1">
        <f t="shared" si="0"/>
        <v>-8.3333333333333037E-2</v>
      </c>
      <c r="F52">
        <f t="shared" si="1"/>
        <v>32.104805962963091</v>
      </c>
      <c r="G52">
        <f t="shared" si="2"/>
        <v>165.67005772138813</v>
      </c>
      <c r="I52">
        <f t="shared" si="3"/>
        <v>5.5555555555555556E-4</v>
      </c>
      <c r="J52">
        <f t="shared" si="4"/>
        <v>4.4590008281893183E-2</v>
      </c>
      <c r="K52">
        <f t="shared" si="5"/>
        <v>0.39760813853133153</v>
      </c>
    </row>
    <row r="53" spans="1:11" x14ac:dyDescent="0.35">
      <c r="A53" s="2" t="s">
        <v>6</v>
      </c>
      <c r="B53" s="2">
        <v>50</v>
      </c>
      <c r="C53" s="2">
        <v>50</v>
      </c>
      <c r="D53" s="14">
        <v>17.8</v>
      </c>
      <c r="E53" s="1">
        <f t="shared" si="0"/>
        <v>-5.5555555555555851E-2</v>
      </c>
      <c r="F53">
        <f t="shared" si="1"/>
        <v>44.771472629629486</v>
      </c>
      <c r="G53">
        <f t="shared" si="2"/>
        <v>165.67005772138813</v>
      </c>
      <c r="I53">
        <f t="shared" si="3"/>
        <v>5.5555555555555556E-4</v>
      </c>
      <c r="J53">
        <f t="shared" si="4"/>
        <v>6.2182600874485398E-2</v>
      </c>
      <c r="K53">
        <f t="shared" si="5"/>
        <v>0.39760813853133153</v>
      </c>
    </row>
    <row r="54" spans="1:11" x14ac:dyDescent="0.35">
      <c r="A54" s="2" t="s">
        <v>6</v>
      </c>
      <c r="B54" s="2">
        <v>51</v>
      </c>
      <c r="C54" s="2">
        <v>51</v>
      </c>
      <c r="D54" s="14">
        <v>17.399999999999999</v>
      </c>
      <c r="E54" s="1">
        <f t="shared" si="0"/>
        <v>-0.29166666666666685</v>
      </c>
      <c r="F54">
        <f t="shared" si="1"/>
        <v>0</v>
      </c>
      <c r="G54">
        <f t="shared" si="2"/>
        <v>161.9471350759637</v>
      </c>
      <c r="I54">
        <f t="shared" si="3"/>
        <v>5.5555555555555556E-4</v>
      </c>
      <c r="J54">
        <f t="shared" si="4"/>
        <v>0</v>
      </c>
      <c r="K54">
        <f t="shared" si="5"/>
        <v>0.38867312418231292</v>
      </c>
    </row>
    <row r="55" spans="1:11" x14ac:dyDescent="0.35">
      <c r="A55" s="2" t="s">
        <v>6</v>
      </c>
      <c r="B55" s="2">
        <v>52</v>
      </c>
      <c r="C55" s="2">
        <v>52</v>
      </c>
      <c r="D55" s="14">
        <v>15.7</v>
      </c>
      <c r="E55" s="1">
        <f t="shared" si="0"/>
        <v>-0.5972222222222221</v>
      </c>
      <c r="F55">
        <f t="shared" si="1"/>
        <v>0</v>
      </c>
      <c r="G55">
        <f t="shared" si="2"/>
        <v>146.12471383290978</v>
      </c>
      <c r="I55">
        <f t="shared" si="3"/>
        <v>5.5555555555555556E-4</v>
      </c>
      <c r="J55">
        <f t="shared" si="4"/>
        <v>0</v>
      </c>
      <c r="K55">
        <f t="shared" si="5"/>
        <v>0.35069931319898351</v>
      </c>
    </row>
    <row r="56" spans="1:11" x14ac:dyDescent="0.35">
      <c r="A56" s="2" t="s">
        <v>6</v>
      </c>
      <c r="B56" s="2">
        <v>53</v>
      </c>
      <c r="C56" s="2">
        <v>53</v>
      </c>
      <c r="D56" s="14">
        <v>13.1</v>
      </c>
      <c r="E56" s="1">
        <f t="shared" si="0"/>
        <v>-0.49999999999999994</v>
      </c>
      <c r="F56">
        <f t="shared" si="1"/>
        <v>0</v>
      </c>
      <c r="G56">
        <f t="shared" si="2"/>
        <v>121.92571663765082</v>
      </c>
      <c r="I56">
        <f t="shared" si="3"/>
        <v>5.5555555555555556E-4</v>
      </c>
      <c r="J56">
        <f t="shared" si="4"/>
        <v>0</v>
      </c>
      <c r="K56">
        <f t="shared" si="5"/>
        <v>0.29262171993036196</v>
      </c>
    </row>
    <row r="57" spans="1:11" x14ac:dyDescent="0.35">
      <c r="A57" s="2" t="s">
        <v>6</v>
      </c>
      <c r="B57" s="2">
        <v>54</v>
      </c>
      <c r="C57" s="2">
        <v>54</v>
      </c>
      <c r="D57" s="14">
        <v>12.1</v>
      </c>
      <c r="E57" s="1">
        <f t="shared" si="0"/>
        <v>-0.15277777777777773</v>
      </c>
      <c r="F57">
        <f t="shared" si="1"/>
        <v>0</v>
      </c>
      <c r="G57">
        <f t="shared" si="2"/>
        <v>112.6184100240897</v>
      </c>
      <c r="I57">
        <f t="shared" si="3"/>
        <v>5.5555555555555556E-4</v>
      </c>
      <c r="J57">
        <f t="shared" si="4"/>
        <v>0</v>
      </c>
      <c r="K57">
        <f t="shared" si="5"/>
        <v>0.27028418405781529</v>
      </c>
    </row>
    <row r="58" spans="1:11" x14ac:dyDescent="0.35">
      <c r="A58" s="2" t="s">
        <v>6</v>
      </c>
      <c r="B58" s="2">
        <v>55</v>
      </c>
      <c r="C58" s="2">
        <v>55</v>
      </c>
      <c r="D58" s="14">
        <v>12</v>
      </c>
      <c r="E58" s="1">
        <f t="shared" si="0"/>
        <v>-1.388888888888884E-2</v>
      </c>
      <c r="F58">
        <f t="shared" si="1"/>
        <v>62.132533333333356</v>
      </c>
      <c r="G58">
        <f t="shared" si="2"/>
        <v>111.68767936273358</v>
      </c>
      <c r="I58">
        <f t="shared" si="3"/>
        <v>5.5555555555555556E-4</v>
      </c>
      <c r="J58">
        <f t="shared" si="4"/>
        <v>8.6295185185185211E-2</v>
      </c>
      <c r="K58">
        <f t="shared" si="5"/>
        <v>0.2680504304705606</v>
      </c>
    </row>
    <row r="59" spans="1:11" x14ac:dyDescent="0.35">
      <c r="A59" s="2" t="s">
        <v>6</v>
      </c>
      <c r="B59" s="2">
        <v>56</v>
      </c>
      <c r="C59" s="2">
        <v>56</v>
      </c>
      <c r="D59" s="14">
        <v>12</v>
      </c>
      <c r="E59" s="1">
        <f t="shared" si="0"/>
        <v>0</v>
      </c>
      <c r="F59">
        <f t="shared" si="1"/>
        <v>68.465866666666656</v>
      </c>
      <c r="G59">
        <f t="shared" si="2"/>
        <v>111.68767936273358</v>
      </c>
      <c r="I59">
        <f t="shared" si="3"/>
        <v>5.5555555555555556E-4</v>
      </c>
      <c r="J59">
        <f t="shared" si="4"/>
        <v>9.5091481481481471E-2</v>
      </c>
      <c r="K59">
        <f t="shared" si="5"/>
        <v>0.2680504304705606</v>
      </c>
    </row>
    <row r="60" spans="1:11" x14ac:dyDescent="0.35">
      <c r="A60" s="2" t="s">
        <v>6</v>
      </c>
      <c r="B60" s="2">
        <v>57</v>
      </c>
      <c r="C60" s="2">
        <v>57</v>
      </c>
      <c r="D60" s="14">
        <v>12</v>
      </c>
      <c r="E60" s="1">
        <f t="shared" si="0"/>
        <v>4.1666666666666761E-2</v>
      </c>
      <c r="F60">
        <f t="shared" si="1"/>
        <v>87.465866666666685</v>
      </c>
      <c r="G60">
        <f t="shared" si="2"/>
        <v>111.68767936273358</v>
      </c>
      <c r="I60">
        <f t="shared" si="3"/>
        <v>5.5555555555555556E-4</v>
      </c>
      <c r="J60">
        <f t="shared" si="4"/>
        <v>0.12148037037037039</v>
      </c>
      <c r="K60">
        <f t="shared" si="5"/>
        <v>0.2680504304705606</v>
      </c>
    </row>
    <row r="61" spans="1:11" x14ac:dyDescent="0.35">
      <c r="A61" s="2" t="s">
        <v>6</v>
      </c>
      <c r="B61" s="2">
        <v>58</v>
      </c>
      <c r="C61" s="2">
        <v>58</v>
      </c>
      <c r="D61" s="14">
        <v>12.3</v>
      </c>
      <c r="E61" s="1">
        <f t="shared" si="0"/>
        <v>8.3333333333333287E-2</v>
      </c>
      <c r="F61">
        <f t="shared" si="1"/>
        <v>106.53499341666662</v>
      </c>
      <c r="G61">
        <f t="shared" si="2"/>
        <v>114.47987134680191</v>
      </c>
      <c r="I61">
        <f t="shared" si="3"/>
        <v>5.5555555555555556E-4</v>
      </c>
      <c r="J61">
        <f t="shared" si="4"/>
        <v>0.14796526863425921</v>
      </c>
      <c r="K61">
        <f t="shared" si="5"/>
        <v>0.27475169123232462</v>
      </c>
    </row>
    <row r="62" spans="1:11" x14ac:dyDescent="0.35">
      <c r="A62" s="2" t="s">
        <v>6</v>
      </c>
      <c r="B62" s="2">
        <v>59</v>
      </c>
      <c r="C62" s="2">
        <v>59</v>
      </c>
      <c r="D62" s="14">
        <v>12.6</v>
      </c>
      <c r="E62" s="1">
        <f t="shared" si="0"/>
        <v>0.33333333333333315</v>
      </c>
      <c r="F62">
        <f t="shared" si="1"/>
        <v>220.60582699999992</v>
      </c>
      <c r="G62">
        <f t="shared" si="2"/>
        <v>117.27206333087025</v>
      </c>
      <c r="I62">
        <f t="shared" si="3"/>
        <v>5.5555555555555556E-4</v>
      </c>
      <c r="J62">
        <f t="shared" si="4"/>
        <v>0.30639698194444431</v>
      </c>
      <c r="K62">
        <f t="shared" si="5"/>
        <v>0.2814529519940886</v>
      </c>
    </row>
    <row r="63" spans="1:11" x14ac:dyDescent="0.35">
      <c r="A63" s="2" t="s">
        <v>6</v>
      </c>
      <c r="B63" s="2">
        <v>60</v>
      </c>
      <c r="C63" s="2">
        <v>60</v>
      </c>
      <c r="D63" s="14">
        <v>14.7</v>
      </c>
      <c r="E63" s="1">
        <f t="shared" si="0"/>
        <v>0.37500000000000011</v>
      </c>
      <c r="F63">
        <f t="shared" si="1"/>
        <v>240.14945341666674</v>
      </c>
      <c r="G63">
        <f t="shared" si="2"/>
        <v>136.81740721934864</v>
      </c>
      <c r="I63">
        <f t="shared" si="3"/>
        <v>5.5555555555555556E-4</v>
      </c>
      <c r="J63">
        <f t="shared" si="4"/>
        <v>0.33354090752314824</v>
      </c>
      <c r="K63">
        <f t="shared" si="5"/>
        <v>0.32836177732643673</v>
      </c>
    </row>
    <row r="64" spans="1:11" x14ac:dyDescent="0.35">
      <c r="A64" s="2" t="s">
        <v>6</v>
      </c>
      <c r="B64" s="2">
        <v>61</v>
      </c>
      <c r="C64" s="2">
        <v>61</v>
      </c>
      <c r="D64" s="14">
        <v>15.3</v>
      </c>
      <c r="E64" s="1">
        <f t="shared" si="0"/>
        <v>0.16666666666666682</v>
      </c>
      <c r="F64">
        <f t="shared" si="1"/>
        <v>145.32013675000005</v>
      </c>
      <c r="G64">
        <f t="shared" si="2"/>
        <v>142.40179118748532</v>
      </c>
      <c r="I64">
        <f t="shared" si="3"/>
        <v>5.5555555555555556E-4</v>
      </c>
      <c r="J64">
        <f t="shared" si="4"/>
        <v>0.20183352326388895</v>
      </c>
      <c r="K64">
        <f t="shared" si="5"/>
        <v>0.34176429884996479</v>
      </c>
    </row>
    <row r="65" spans="1:11" x14ac:dyDescent="0.35">
      <c r="A65" s="2" t="s">
        <v>6</v>
      </c>
      <c r="B65" s="2">
        <v>62</v>
      </c>
      <c r="C65" s="2">
        <v>62</v>
      </c>
      <c r="D65" s="14">
        <v>15.9</v>
      </c>
      <c r="E65" s="1">
        <f t="shared" si="0"/>
        <v>0.12499999999999981</v>
      </c>
      <c r="F65">
        <f t="shared" si="1"/>
        <v>126.49764741666658</v>
      </c>
      <c r="G65">
        <f t="shared" si="2"/>
        <v>147.98617515562199</v>
      </c>
      <c r="I65">
        <f t="shared" si="3"/>
        <v>5.5555555555555556E-4</v>
      </c>
      <c r="J65">
        <f t="shared" si="4"/>
        <v>0.17569117696759248</v>
      </c>
      <c r="K65">
        <f t="shared" si="5"/>
        <v>0.35516682037349279</v>
      </c>
    </row>
    <row r="66" spans="1:11" x14ac:dyDescent="0.35">
      <c r="A66" s="2" t="s">
        <v>6</v>
      </c>
      <c r="B66" s="2">
        <v>63</v>
      </c>
      <c r="C66" s="2">
        <v>63</v>
      </c>
      <c r="D66" s="14">
        <v>16.2</v>
      </c>
      <c r="E66" s="1">
        <f t="shared" si="0"/>
        <v>0.16666666666666682</v>
      </c>
      <c r="F66">
        <f t="shared" si="1"/>
        <v>145.58896300000006</v>
      </c>
      <c r="G66">
        <f t="shared" si="2"/>
        <v>150.77836713969035</v>
      </c>
      <c r="I66">
        <f t="shared" si="3"/>
        <v>5.5555555555555556E-4</v>
      </c>
      <c r="J66">
        <f t="shared" si="4"/>
        <v>0.20220689305555564</v>
      </c>
      <c r="K66">
        <f t="shared" si="5"/>
        <v>0.36186808113525687</v>
      </c>
    </row>
    <row r="67" spans="1:11" x14ac:dyDescent="0.35">
      <c r="A67" s="2" t="s">
        <v>6</v>
      </c>
      <c r="B67" s="2">
        <v>64</v>
      </c>
      <c r="C67" s="2">
        <v>64</v>
      </c>
      <c r="D67" s="14">
        <v>17.100000000000001</v>
      </c>
      <c r="E67" s="1">
        <f t="shared" si="0"/>
        <v>0.2222222222222224</v>
      </c>
      <c r="F67">
        <f t="shared" si="1"/>
        <v>171.20648408333341</v>
      </c>
      <c r="G67">
        <f t="shared" si="2"/>
        <v>159.15494309189535</v>
      </c>
      <c r="I67">
        <f t="shared" si="3"/>
        <v>5.5555555555555556E-4</v>
      </c>
      <c r="J67">
        <f t="shared" si="4"/>
        <v>0.23778678344907417</v>
      </c>
      <c r="K67">
        <f t="shared" si="5"/>
        <v>0.38197186342054884</v>
      </c>
    </row>
    <row r="68" spans="1:11" x14ac:dyDescent="0.35">
      <c r="A68" s="2" t="s">
        <v>6</v>
      </c>
      <c r="B68" s="2">
        <v>65</v>
      </c>
      <c r="C68" s="2">
        <v>65</v>
      </c>
      <c r="D68" s="14">
        <v>17.8</v>
      </c>
      <c r="E68" s="1">
        <f t="shared" si="0"/>
        <v>0.1388888888888889</v>
      </c>
      <c r="F68">
        <f t="shared" si="1"/>
        <v>133.4381392962963</v>
      </c>
      <c r="G68">
        <f t="shared" si="2"/>
        <v>165.67005772138813</v>
      </c>
      <c r="I68">
        <f t="shared" si="3"/>
        <v>5.5555555555555556E-4</v>
      </c>
      <c r="J68">
        <f t="shared" si="4"/>
        <v>0.18533074902263375</v>
      </c>
      <c r="K68">
        <f t="shared" si="5"/>
        <v>0.39760813853133153</v>
      </c>
    </row>
    <row r="69" spans="1:11" x14ac:dyDescent="0.35">
      <c r="A69" s="2" t="s">
        <v>6</v>
      </c>
      <c r="B69" s="2">
        <v>66</v>
      </c>
      <c r="C69" s="2">
        <v>66</v>
      </c>
      <c r="D69" s="14">
        <v>18.100000000000001</v>
      </c>
      <c r="E69" s="1">
        <f t="shared" ref="E69:E132" si="6">($D70-$D68)/2/3.6</f>
        <v>8.3333333333333037E-2</v>
      </c>
      <c r="F69">
        <f t="shared" ref="F69:F132" si="7">IF(D69=0,0,MAX(0,0.285*(1600*E69 + 1600*9.81*0.015 + 0.5*1.225*0.32*2.2*(D69/3.6)^2)))</f>
        <v>108.2069314907406</v>
      </c>
      <c r="G69">
        <f t="shared" ref="G69:G132" si="8">60*D69/(2*PI()*3.6*0.285)</f>
        <v>168.46224970545649</v>
      </c>
      <c r="I69">
        <f t="shared" ref="I69:I132" si="9">1/1800</f>
        <v>5.5555555555555556E-4</v>
      </c>
      <c r="J69">
        <f t="shared" ref="J69:J132" si="10">F69/(M$3*3.6)</f>
        <v>0.15028740484825084</v>
      </c>
      <c r="K69">
        <f t="shared" ref="K69:K132" si="11">G69*3.6/N$3</f>
        <v>0.40430939929309556</v>
      </c>
    </row>
    <row r="70" spans="1:11" x14ac:dyDescent="0.35">
      <c r="A70" s="2" t="s">
        <v>6</v>
      </c>
      <c r="B70" s="2">
        <v>67</v>
      </c>
      <c r="C70" s="2">
        <v>67</v>
      </c>
      <c r="D70" s="14">
        <v>18.399999999999999</v>
      </c>
      <c r="E70" s="1">
        <f t="shared" si="6"/>
        <v>0.30555555555555547</v>
      </c>
      <c r="F70">
        <f t="shared" si="7"/>
        <v>209.64409718518513</v>
      </c>
      <c r="G70">
        <f t="shared" si="8"/>
        <v>171.25444168952481</v>
      </c>
      <c r="I70">
        <f t="shared" si="9"/>
        <v>5.5555555555555556E-4</v>
      </c>
      <c r="J70">
        <f t="shared" si="10"/>
        <v>0.29117235720164603</v>
      </c>
      <c r="K70">
        <f t="shared" si="11"/>
        <v>0.41101066005485959</v>
      </c>
    </row>
    <row r="71" spans="1:11" x14ac:dyDescent="0.35">
      <c r="A71" s="2" t="s">
        <v>6</v>
      </c>
      <c r="B71" s="2">
        <v>68</v>
      </c>
      <c r="C71" s="2">
        <v>68</v>
      </c>
      <c r="D71" s="14">
        <v>20.3</v>
      </c>
      <c r="E71" s="1">
        <f t="shared" si="6"/>
        <v>0.66666666666666674</v>
      </c>
      <c r="F71">
        <f t="shared" si="7"/>
        <v>375.0080052685185</v>
      </c>
      <c r="G71">
        <f t="shared" si="8"/>
        <v>188.93832425529098</v>
      </c>
      <c r="I71">
        <f t="shared" si="9"/>
        <v>5.5555555555555556E-4</v>
      </c>
      <c r="J71">
        <f t="shared" si="10"/>
        <v>0.52084445176183125</v>
      </c>
      <c r="K71">
        <f t="shared" si="11"/>
        <v>0.45345197821269834</v>
      </c>
    </row>
    <row r="72" spans="1:11" x14ac:dyDescent="0.35">
      <c r="A72" s="2" t="s">
        <v>6</v>
      </c>
      <c r="B72" s="2">
        <v>69</v>
      </c>
      <c r="C72" s="2">
        <v>69</v>
      </c>
      <c r="D72" s="14">
        <v>23.2</v>
      </c>
      <c r="E72" s="1">
        <f t="shared" si="6"/>
        <v>0.86111111111111094</v>
      </c>
      <c r="F72">
        <f t="shared" si="7"/>
        <v>464.87087762962955</v>
      </c>
      <c r="G72">
        <f t="shared" si="8"/>
        <v>215.92951343461826</v>
      </c>
      <c r="I72">
        <f t="shared" si="9"/>
        <v>5.5555555555555556E-4</v>
      </c>
      <c r="J72">
        <f t="shared" si="10"/>
        <v>0.64565399670781887</v>
      </c>
      <c r="K72">
        <f t="shared" si="11"/>
        <v>0.51823083224308375</v>
      </c>
    </row>
    <row r="73" spans="1:11" x14ac:dyDescent="0.35">
      <c r="A73" s="2" t="s">
        <v>6</v>
      </c>
      <c r="B73" s="2">
        <v>70</v>
      </c>
      <c r="C73" s="2">
        <v>70</v>
      </c>
      <c r="D73" s="14">
        <v>26.5</v>
      </c>
      <c r="E73" s="1">
        <f t="shared" si="6"/>
        <v>0.91666666666666685</v>
      </c>
      <c r="F73">
        <f t="shared" si="7"/>
        <v>491.7594206018519</v>
      </c>
      <c r="G73">
        <f t="shared" si="8"/>
        <v>246.64362525937</v>
      </c>
      <c r="I73">
        <f t="shared" si="9"/>
        <v>5.5555555555555556E-4</v>
      </c>
      <c r="J73">
        <f t="shared" si="10"/>
        <v>0.68299919528034991</v>
      </c>
      <c r="K73">
        <f t="shared" si="11"/>
        <v>0.59194470062248794</v>
      </c>
    </row>
    <row r="74" spans="1:11" x14ac:dyDescent="0.35">
      <c r="A74" s="2" t="s">
        <v>6</v>
      </c>
      <c r="B74" s="2">
        <v>71</v>
      </c>
      <c r="C74" s="2">
        <v>71</v>
      </c>
      <c r="D74" s="14">
        <v>29.8</v>
      </c>
      <c r="E74" s="1">
        <f t="shared" si="6"/>
        <v>0.84722222222222243</v>
      </c>
      <c r="F74">
        <f t="shared" si="7"/>
        <v>461.85449040740747</v>
      </c>
      <c r="G74">
        <f t="shared" si="8"/>
        <v>277.35773708412171</v>
      </c>
      <c r="I74">
        <f t="shared" si="9"/>
        <v>5.5555555555555556E-4</v>
      </c>
      <c r="J74">
        <f t="shared" si="10"/>
        <v>0.64146457001028812</v>
      </c>
      <c r="K74">
        <f t="shared" si="11"/>
        <v>0.66565856900189213</v>
      </c>
    </row>
    <row r="75" spans="1:11" x14ac:dyDescent="0.35">
      <c r="A75" s="2" t="s">
        <v>6</v>
      </c>
      <c r="B75" s="2">
        <v>72</v>
      </c>
      <c r="C75" s="2">
        <v>72</v>
      </c>
      <c r="D75" s="14">
        <v>32.6</v>
      </c>
      <c r="E75" s="1">
        <f t="shared" si="6"/>
        <v>0.63888888888888862</v>
      </c>
      <c r="F75">
        <f t="shared" si="7"/>
        <v>368.51125662962943</v>
      </c>
      <c r="G75">
        <f t="shared" si="8"/>
        <v>303.41819560209291</v>
      </c>
      <c r="I75">
        <f t="shared" si="9"/>
        <v>5.5555555555555556E-4</v>
      </c>
      <c r="J75">
        <f t="shared" si="10"/>
        <v>0.51182118976337421</v>
      </c>
      <c r="K75">
        <f t="shared" si="11"/>
        <v>0.72820366944502302</v>
      </c>
    </row>
    <row r="76" spans="1:11" x14ac:dyDescent="0.35">
      <c r="A76" s="2" t="s">
        <v>6</v>
      </c>
      <c r="B76" s="2">
        <v>73</v>
      </c>
      <c r="C76" s="2">
        <v>73</v>
      </c>
      <c r="D76" s="14">
        <v>34.4</v>
      </c>
      <c r="E76" s="1">
        <f t="shared" si="6"/>
        <v>0.40277777777777757</v>
      </c>
      <c r="F76">
        <f t="shared" si="7"/>
        <v>261.98816829629618</v>
      </c>
      <c r="G76">
        <f t="shared" si="8"/>
        <v>320.17134750650291</v>
      </c>
      <c r="I76">
        <f t="shared" si="9"/>
        <v>5.5555555555555556E-4</v>
      </c>
      <c r="J76">
        <f t="shared" si="10"/>
        <v>0.36387245596707801</v>
      </c>
      <c r="K76">
        <f t="shared" si="11"/>
        <v>0.76841123401560707</v>
      </c>
    </row>
    <row r="77" spans="1:11" x14ac:dyDescent="0.35">
      <c r="A77" s="2" t="s">
        <v>6</v>
      </c>
      <c r="B77" s="2">
        <v>74</v>
      </c>
      <c r="C77" s="2">
        <v>74</v>
      </c>
      <c r="D77" s="14">
        <v>35.5</v>
      </c>
      <c r="E77" s="1">
        <f t="shared" si="6"/>
        <v>0.27777777777777779</v>
      </c>
      <c r="F77">
        <f t="shared" si="7"/>
        <v>205.71727060185182</v>
      </c>
      <c r="G77">
        <f t="shared" si="8"/>
        <v>330.40938478142016</v>
      </c>
      <c r="I77">
        <f t="shared" si="9"/>
        <v>5.5555555555555556E-4</v>
      </c>
      <c r="J77">
        <f t="shared" si="10"/>
        <v>0.28571843139146086</v>
      </c>
      <c r="K77">
        <f t="shared" si="11"/>
        <v>0.79298252347540843</v>
      </c>
    </row>
    <row r="78" spans="1:11" x14ac:dyDescent="0.35">
      <c r="A78" s="2" t="s">
        <v>6</v>
      </c>
      <c r="B78" s="2">
        <v>75</v>
      </c>
      <c r="C78" s="2">
        <v>75</v>
      </c>
      <c r="D78" s="14">
        <v>36.4</v>
      </c>
      <c r="E78" s="1">
        <f t="shared" si="6"/>
        <v>0.26388888888888867</v>
      </c>
      <c r="F78">
        <f t="shared" si="7"/>
        <v>199.99754385185173</v>
      </c>
      <c r="G78">
        <f t="shared" si="8"/>
        <v>338.78596073362519</v>
      </c>
      <c r="I78">
        <f t="shared" si="9"/>
        <v>5.5555555555555556E-4</v>
      </c>
      <c r="J78">
        <f t="shared" si="10"/>
        <v>0.2777743664609052</v>
      </c>
      <c r="K78">
        <f t="shared" si="11"/>
        <v>0.8130863057607004</v>
      </c>
    </row>
    <row r="79" spans="1:11" x14ac:dyDescent="0.35">
      <c r="A79" s="2" t="s">
        <v>6</v>
      </c>
      <c r="B79" s="2">
        <v>76</v>
      </c>
      <c r="C79" s="2">
        <v>76</v>
      </c>
      <c r="D79" s="14">
        <v>37.4</v>
      </c>
      <c r="E79" s="1">
        <f t="shared" si="6"/>
        <v>0.29166666666666685</v>
      </c>
      <c r="F79">
        <f t="shared" si="7"/>
        <v>213.36401218518526</v>
      </c>
      <c r="G79">
        <f t="shared" si="8"/>
        <v>348.09326734718633</v>
      </c>
      <c r="I79">
        <f t="shared" si="9"/>
        <v>5.5555555555555556E-4</v>
      </c>
      <c r="J79">
        <f t="shared" si="10"/>
        <v>0.29633890581275729</v>
      </c>
      <c r="K79">
        <f t="shared" si="11"/>
        <v>0.83542384163324712</v>
      </c>
    </row>
    <row r="80" spans="1:11" x14ac:dyDescent="0.35">
      <c r="A80" s="2" t="s">
        <v>6</v>
      </c>
      <c r="B80" s="2">
        <v>77</v>
      </c>
      <c r="C80" s="2">
        <v>77</v>
      </c>
      <c r="D80" s="14">
        <v>38.5</v>
      </c>
      <c r="E80" s="1">
        <f t="shared" si="6"/>
        <v>0.26388888888888867</v>
      </c>
      <c r="F80">
        <f t="shared" si="7"/>
        <v>201.48903171296286</v>
      </c>
      <c r="G80">
        <f t="shared" si="8"/>
        <v>358.33130462210357</v>
      </c>
      <c r="I80">
        <f t="shared" si="9"/>
        <v>5.5555555555555556E-4</v>
      </c>
      <c r="J80">
        <f t="shared" si="10"/>
        <v>0.27984587737911509</v>
      </c>
      <c r="K80">
        <f t="shared" si="11"/>
        <v>0.85999513109304859</v>
      </c>
    </row>
    <row r="81" spans="1:11" x14ac:dyDescent="0.35">
      <c r="A81" s="2" t="s">
        <v>6</v>
      </c>
      <c r="B81" s="2">
        <v>78</v>
      </c>
      <c r="C81" s="2">
        <v>78</v>
      </c>
      <c r="D81" s="14">
        <v>39.299999999999997</v>
      </c>
      <c r="E81" s="1">
        <f t="shared" si="6"/>
        <v>0.1388888888888889</v>
      </c>
      <c r="F81">
        <f t="shared" si="7"/>
        <v>145.07921675</v>
      </c>
      <c r="G81">
        <f t="shared" si="8"/>
        <v>365.7771499129525</v>
      </c>
      <c r="I81">
        <f t="shared" si="9"/>
        <v>5.5555555555555556E-4</v>
      </c>
      <c r="J81">
        <f t="shared" si="10"/>
        <v>0.20149891215277776</v>
      </c>
      <c r="K81">
        <f t="shared" si="11"/>
        <v>0.87786515979108604</v>
      </c>
    </row>
    <row r="82" spans="1:11" x14ac:dyDescent="0.35">
      <c r="A82" s="2" t="s">
        <v>6</v>
      </c>
      <c r="B82" s="2">
        <v>79</v>
      </c>
      <c r="C82" s="2">
        <v>79</v>
      </c>
      <c r="D82" s="14">
        <v>39.5</v>
      </c>
      <c r="E82" s="1">
        <f t="shared" si="6"/>
        <v>-4.1666666666666269E-2</v>
      </c>
      <c r="F82">
        <f t="shared" si="7"/>
        <v>62.895326157407581</v>
      </c>
      <c r="G82">
        <f t="shared" si="8"/>
        <v>367.63861123566471</v>
      </c>
      <c r="I82">
        <f t="shared" si="9"/>
        <v>5.5555555555555556E-4</v>
      </c>
      <c r="J82">
        <f t="shared" si="10"/>
        <v>8.7354619663066083E-2</v>
      </c>
      <c r="K82">
        <f t="shared" si="11"/>
        <v>0.88233266696559531</v>
      </c>
    </row>
    <row r="83" spans="1:11" x14ac:dyDescent="0.35">
      <c r="A83" s="2" t="s">
        <v>6</v>
      </c>
      <c r="B83" s="2">
        <v>80</v>
      </c>
      <c r="C83" s="2">
        <v>80</v>
      </c>
      <c r="D83" s="14">
        <v>39</v>
      </c>
      <c r="E83" s="1">
        <f t="shared" si="6"/>
        <v>-0.1388888888888889</v>
      </c>
      <c r="F83">
        <f t="shared" si="7"/>
        <v>18.189808333333332</v>
      </c>
      <c r="G83">
        <f t="shared" si="8"/>
        <v>362.98495792888411</v>
      </c>
      <c r="I83">
        <f t="shared" si="9"/>
        <v>5.5555555555555556E-4</v>
      </c>
      <c r="J83">
        <f t="shared" si="10"/>
        <v>2.5263622685185182E-2</v>
      </c>
      <c r="K83">
        <f t="shared" si="11"/>
        <v>0.8711638990293219</v>
      </c>
    </row>
    <row r="84" spans="1:11" x14ac:dyDescent="0.35">
      <c r="A84" s="2" t="s">
        <v>6</v>
      </c>
      <c r="B84" s="2">
        <v>81</v>
      </c>
      <c r="C84" s="2">
        <v>81</v>
      </c>
      <c r="D84" s="14">
        <v>38.5</v>
      </c>
      <c r="E84" s="1">
        <f t="shared" si="6"/>
        <v>-0.23611111111111149</v>
      </c>
      <c r="F84">
        <f t="shared" si="7"/>
        <v>0</v>
      </c>
      <c r="G84">
        <f t="shared" si="8"/>
        <v>358.33130462210357</v>
      </c>
      <c r="I84">
        <f t="shared" si="9"/>
        <v>5.5555555555555556E-4</v>
      </c>
      <c r="J84">
        <f t="shared" si="10"/>
        <v>0</v>
      </c>
      <c r="K84">
        <f t="shared" si="11"/>
        <v>0.85999513109304859</v>
      </c>
    </row>
    <row r="85" spans="1:11" x14ac:dyDescent="0.35">
      <c r="A85" s="2" t="s">
        <v>6</v>
      </c>
      <c r="B85" s="2">
        <v>82</v>
      </c>
      <c r="C85" s="2">
        <v>82</v>
      </c>
      <c r="D85" s="14">
        <v>37.299999999999997</v>
      </c>
      <c r="E85" s="1">
        <f t="shared" si="6"/>
        <v>-0.20833333333333331</v>
      </c>
      <c r="F85">
        <f t="shared" si="7"/>
        <v>0</v>
      </c>
      <c r="G85">
        <f t="shared" si="8"/>
        <v>347.16253668583022</v>
      </c>
      <c r="I85">
        <f t="shared" si="9"/>
        <v>5.5555555555555556E-4</v>
      </c>
      <c r="J85">
        <f t="shared" si="10"/>
        <v>0</v>
      </c>
      <c r="K85">
        <f t="shared" si="11"/>
        <v>0.83319008804599248</v>
      </c>
    </row>
    <row r="86" spans="1:11" x14ac:dyDescent="0.35">
      <c r="A86" s="2" t="s">
        <v>6</v>
      </c>
      <c r="B86" s="2">
        <v>83</v>
      </c>
      <c r="C86" s="2">
        <v>83</v>
      </c>
      <c r="D86" s="14">
        <v>37</v>
      </c>
      <c r="E86" s="1">
        <f t="shared" si="6"/>
        <v>-8.3333333333332538E-2</v>
      </c>
      <c r="F86">
        <f t="shared" si="7"/>
        <v>42.081815740741099</v>
      </c>
      <c r="G86">
        <f t="shared" si="8"/>
        <v>344.37034470176189</v>
      </c>
      <c r="I86">
        <f t="shared" si="9"/>
        <v>5.5555555555555556E-4</v>
      </c>
      <c r="J86">
        <f t="shared" si="10"/>
        <v>5.8446966306584858E-2</v>
      </c>
      <c r="K86">
        <f t="shared" si="11"/>
        <v>0.82648882728422857</v>
      </c>
    </row>
    <row r="87" spans="1:11" x14ac:dyDescent="0.35">
      <c r="A87" s="2" t="s">
        <v>6</v>
      </c>
      <c r="B87" s="2">
        <v>84</v>
      </c>
      <c r="C87" s="2">
        <v>84</v>
      </c>
      <c r="D87" s="14">
        <v>36.700000000000003</v>
      </c>
      <c r="E87" s="1">
        <f t="shared" si="6"/>
        <v>-0.15277777777777798</v>
      </c>
      <c r="F87">
        <f t="shared" si="7"/>
        <v>10.205493046296203</v>
      </c>
      <c r="G87">
        <f t="shared" si="8"/>
        <v>341.57815271769351</v>
      </c>
      <c r="I87">
        <f t="shared" si="9"/>
        <v>5.5555555555555556E-4</v>
      </c>
      <c r="J87">
        <f t="shared" si="10"/>
        <v>1.4174295897633615E-2</v>
      </c>
      <c r="K87">
        <f t="shared" si="11"/>
        <v>0.81978756652246454</v>
      </c>
    </row>
    <row r="88" spans="1:11" x14ac:dyDescent="0.35">
      <c r="A88" s="2" t="s">
        <v>6</v>
      </c>
      <c r="B88" s="2">
        <v>85</v>
      </c>
      <c r="C88" s="2">
        <v>85</v>
      </c>
      <c r="D88" s="14">
        <v>35.9</v>
      </c>
      <c r="E88" s="1">
        <f t="shared" si="6"/>
        <v>-0.19444444444444522</v>
      </c>
      <c r="F88">
        <f t="shared" si="7"/>
        <v>0</v>
      </c>
      <c r="G88">
        <f t="shared" si="8"/>
        <v>334.13230742684465</v>
      </c>
      <c r="I88">
        <f t="shared" si="9"/>
        <v>5.5555555555555556E-4</v>
      </c>
      <c r="J88">
        <f t="shared" si="10"/>
        <v>0</v>
      </c>
      <c r="K88">
        <f t="shared" si="11"/>
        <v>0.80191753782442721</v>
      </c>
    </row>
    <row r="89" spans="1:11" x14ac:dyDescent="0.35">
      <c r="A89" s="2" t="s">
        <v>6</v>
      </c>
      <c r="B89" s="2">
        <v>86</v>
      </c>
      <c r="C89" s="2">
        <v>86</v>
      </c>
      <c r="D89" s="14">
        <v>35.299999999999997</v>
      </c>
      <c r="E89" s="1">
        <f t="shared" si="6"/>
        <v>-0.18055555555555516</v>
      </c>
      <c r="F89">
        <f t="shared" si="7"/>
        <v>0</v>
      </c>
      <c r="G89">
        <f t="shared" si="8"/>
        <v>328.54792345870794</v>
      </c>
      <c r="I89">
        <f t="shared" si="9"/>
        <v>5.5555555555555556E-4</v>
      </c>
      <c r="J89">
        <f t="shared" si="10"/>
        <v>0</v>
      </c>
      <c r="K89">
        <f t="shared" si="11"/>
        <v>0.78851501630089904</v>
      </c>
    </row>
    <row r="90" spans="1:11" x14ac:dyDescent="0.35">
      <c r="A90" s="2" t="s">
        <v>6</v>
      </c>
      <c r="B90" s="2">
        <v>87</v>
      </c>
      <c r="C90" s="2">
        <v>87</v>
      </c>
      <c r="D90" s="14">
        <v>34.6</v>
      </c>
      <c r="E90" s="1">
        <f t="shared" si="6"/>
        <v>-0.15277777777777699</v>
      </c>
      <c r="F90">
        <f t="shared" si="7"/>
        <v>8.7856921851855443</v>
      </c>
      <c r="G90">
        <f t="shared" si="8"/>
        <v>322.03280882921513</v>
      </c>
      <c r="I90">
        <f t="shared" si="9"/>
        <v>5.5555555555555556E-4</v>
      </c>
      <c r="J90">
        <f t="shared" si="10"/>
        <v>1.2202350257202146E-2</v>
      </c>
      <c r="K90">
        <f t="shared" si="11"/>
        <v>0.77287874119011635</v>
      </c>
    </row>
    <row r="91" spans="1:11" x14ac:dyDescent="0.35">
      <c r="A91" s="2" t="s">
        <v>6</v>
      </c>
      <c r="B91" s="2">
        <v>88</v>
      </c>
      <c r="C91" s="2">
        <v>88</v>
      </c>
      <c r="D91" s="14">
        <v>34.200000000000003</v>
      </c>
      <c r="E91" s="1">
        <f t="shared" si="6"/>
        <v>-0.37500000000000039</v>
      </c>
      <c r="F91">
        <f t="shared" si="7"/>
        <v>0</v>
      </c>
      <c r="G91">
        <f t="shared" si="8"/>
        <v>318.3098861837907</v>
      </c>
      <c r="I91">
        <f t="shared" si="9"/>
        <v>5.5555555555555556E-4</v>
      </c>
      <c r="J91">
        <f t="shared" si="10"/>
        <v>0</v>
      </c>
      <c r="K91">
        <f t="shared" si="11"/>
        <v>0.76394372684109768</v>
      </c>
    </row>
    <row r="92" spans="1:11" x14ac:dyDescent="0.35">
      <c r="A92" s="2" t="s">
        <v>6</v>
      </c>
      <c r="B92" s="2">
        <v>89</v>
      </c>
      <c r="C92" s="2">
        <v>89</v>
      </c>
      <c r="D92" s="14">
        <v>31.9</v>
      </c>
      <c r="E92" s="1">
        <f t="shared" si="6"/>
        <v>-0.95833333333333359</v>
      </c>
      <c r="F92">
        <f t="shared" si="7"/>
        <v>0</v>
      </c>
      <c r="G92">
        <f t="shared" si="8"/>
        <v>296.90308097260009</v>
      </c>
      <c r="I92">
        <f t="shared" si="9"/>
        <v>5.5555555555555556E-4</v>
      </c>
      <c r="J92">
        <f t="shared" si="10"/>
        <v>0</v>
      </c>
      <c r="K92">
        <f t="shared" si="11"/>
        <v>0.71256739433424021</v>
      </c>
    </row>
    <row r="93" spans="1:11" x14ac:dyDescent="0.35">
      <c r="A93" s="2" t="s">
        <v>6</v>
      </c>
      <c r="B93" s="2">
        <v>90</v>
      </c>
      <c r="C93" s="2">
        <v>90</v>
      </c>
      <c r="D93" s="14">
        <v>27.3</v>
      </c>
      <c r="E93" s="1">
        <f t="shared" si="6"/>
        <v>-1.3749999999999998</v>
      </c>
      <c r="F93">
        <f t="shared" si="7"/>
        <v>0</v>
      </c>
      <c r="G93">
        <f t="shared" si="8"/>
        <v>254.08947055021889</v>
      </c>
      <c r="I93">
        <f t="shared" si="9"/>
        <v>5.5555555555555556E-4</v>
      </c>
      <c r="J93">
        <f t="shared" si="10"/>
        <v>0</v>
      </c>
      <c r="K93">
        <f t="shared" si="11"/>
        <v>0.60981472932052538</v>
      </c>
    </row>
    <row r="94" spans="1:11" x14ac:dyDescent="0.35">
      <c r="A94" s="2" t="s">
        <v>6</v>
      </c>
      <c r="B94" s="2">
        <v>91</v>
      </c>
      <c r="C94" s="2">
        <v>91</v>
      </c>
      <c r="D94" s="14">
        <v>22</v>
      </c>
      <c r="E94" s="1">
        <f t="shared" si="6"/>
        <v>-1.4305555555555556</v>
      </c>
      <c r="F94">
        <f t="shared" si="7"/>
        <v>0</v>
      </c>
      <c r="G94">
        <f t="shared" si="8"/>
        <v>204.7607454983449</v>
      </c>
      <c r="I94">
        <f t="shared" si="9"/>
        <v>5.5555555555555556E-4</v>
      </c>
      <c r="J94">
        <f t="shared" si="10"/>
        <v>0</v>
      </c>
      <c r="K94">
        <f t="shared" si="11"/>
        <v>0.49142578919602775</v>
      </c>
    </row>
    <row r="95" spans="1:11" x14ac:dyDescent="0.35">
      <c r="A95" s="2" t="s">
        <v>6</v>
      </c>
      <c r="B95" s="2">
        <v>92</v>
      </c>
      <c r="C95" s="2">
        <v>92</v>
      </c>
      <c r="D95" s="14">
        <v>17</v>
      </c>
      <c r="E95" s="1">
        <f t="shared" si="6"/>
        <v>-1.0833333333333335</v>
      </c>
      <c r="F95">
        <f t="shared" si="7"/>
        <v>0</v>
      </c>
      <c r="G95">
        <f t="shared" si="8"/>
        <v>158.22421243053924</v>
      </c>
      <c r="I95">
        <f t="shared" si="9"/>
        <v>5.5555555555555556E-4</v>
      </c>
      <c r="J95">
        <f t="shared" si="10"/>
        <v>0</v>
      </c>
      <c r="K95">
        <f t="shared" si="11"/>
        <v>0.3797381098332942</v>
      </c>
    </row>
    <row r="96" spans="1:11" x14ac:dyDescent="0.35">
      <c r="A96" s="2" t="s">
        <v>6</v>
      </c>
      <c r="B96" s="2">
        <v>93</v>
      </c>
      <c r="C96" s="2">
        <v>93</v>
      </c>
      <c r="D96" s="14">
        <v>14.2</v>
      </c>
      <c r="E96" s="1">
        <f t="shared" si="6"/>
        <v>-0.69444444444444442</v>
      </c>
      <c r="F96">
        <f t="shared" si="7"/>
        <v>0</v>
      </c>
      <c r="G96">
        <f t="shared" si="8"/>
        <v>132.16375391256807</v>
      </c>
      <c r="I96">
        <f t="shared" si="9"/>
        <v>5.5555555555555556E-4</v>
      </c>
      <c r="J96">
        <f t="shared" si="10"/>
        <v>0</v>
      </c>
      <c r="K96">
        <f t="shared" si="11"/>
        <v>0.31719300939016337</v>
      </c>
    </row>
    <row r="97" spans="1:11" x14ac:dyDescent="0.35">
      <c r="A97" s="2" t="s">
        <v>6</v>
      </c>
      <c r="B97" s="2">
        <v>94</v>
      </c>
      <c r="C97" s="2">
        <v>94</v>
      </c>
      <c r="D97" s="14">
        <v>12</v>
      </c>
      <c r="E97" s="1">
        <f t="shared" si="6"/>
        <v>-0.70833333333333326</v>
      </c>
      <c r="F97">
        <f t="shared" si="7"/>
        <v>0</v>
      </c>
      <c r="G97">
        <f t="shared" si="8"/>
        <v>111.68767936273358</v>
      </c>
      <c r="I97">
        <f t="shared" si="9"/>
        <v>5.5555555555555556E-4</v>
      </c>
      <c r="J97">
        <f t="shared" si="10"/>
        <v>0</v>
      </c>
      <c r="K97">
        <f t="shared" si="11"/>
        <v>0.2680504304705606</v>
      </c>
    </row>
    <row r="98" spans="1:11" x14ac:dyDescent="0.35">
      <c r="A98" s="2" t="s">
        <v>6</v>
      </c>
      <c r="B98" s="2">
        <v>95</v>
      </c>
      <c r="C98" s="2">
        <v>95</v>
      </c>
      <c r="D98" s="14">
        <v>9.1</v>
      </c>
      <c r="E98" s="1">
        <f t="shared" si="6"/>
        <v>-0.86111111111111116</v>
      </c>
      <c r="F98">
        <f t="shared" si="7"/>
        <v>0</v>
      </c>
      <c r="G98">
        <f t="shared" si="8"/>
        <v>84.696490183406297</v>
      </c>
      <c r="I98">
        <f t="shared" si="9"/>
        <v>5.5555555555555556E-4</v>
      </c>
      <c r="J98">
        <f t="shared" si="10"/>
        <v>0</v>
      </c>
      <c r="K98">
        <f t="shared" si="11"/>
        <v>0.2032715764401751</v>
      </c>
    </row>
    <row r="99" spans="1:11" x14ac:dyDescent="0.35">
      <c r="A99" s="2" t="s">
        <v>6</v>
      </c>
      <c r="B99" s="2">
        <v>96</v>
      </c>
      <c r="C99" s="2">
        <v>96</v>
      </c>
      <c r="D99" s="14">
        <v>5.8</v>
      </c>
      <c r="E99" s="1">
        <f t="shared" si="6"/>
        <v>-0.76388888888888884</v>
      </c>
      <c r="F99">
        <f t="shared" si="7"/>
        <v>0</v>
      </c>
      <c r="G99">
        <f t="shared" si="8"/>
        <v>53.982378358654564</v>
      </c>
      <c r="I99">
        <f t="shared" si="9"/>
        <v>5.5555555555555556E-4</v>
      </c>
      <c r="J99">
        <f t="shared" si="10"/>
        <v>0</v>
      </c>
      <c r="K99">
        <f t="shared" si="11"/>
        <v>0.12955770806077094</v>
      </c>
    </row>
    <row r="100" spans="1:11" x14ac:dyDescent="0.35">
      <c r="A100" s="2" t="s">
        <v>6</v>
      </c>
      <c r="B100" s="2">
        <v>97</v>
      </c>
      <c r="C100" s="2">
        <v>97</v>
      </c>
      <c r="D100" s="14">
        <v>3.6</v>
      </c>
      <c r="E100" s="1">
        <f t="shared" si="6"/>
        <v>-0.49999999999999994</v>
      </c>
      <c r="F100">
        <f t="shared" si="7"/>
        <v>0</v>
      </c>
      <c r="G100">
        <f t="shared" si="8"/>
        <v>33.506303808820071</v>
      </c>
      <c r="I100">
        <f t="shared" si="9"/>
        <v>5.5555555555555556E-4</v>
      </c>
      <c r="J100">
        <f t="shared" si="10"/>
        <v>0</v>
      </c>
      <c r="K100">
        <f t="shared" si="11"/>
        <v>8.0415129141168176E-2</v>
      </c>
    </row>
    <row r="101" spans="1:11" x14ac:dyDescent="0.35">
      <c r="A101" s="2" t="s">
        <v>6</v>
      </c>
      <c r="B101" s="2">
        <v>98</v>
      </c>
      <c r="C101" s="2">
        <v>98</v>
      </c>
      <c r="D101" s="14">
        <v>2.2000000000000002</v>
      </c>
      <c r="E101" s="1">
        <f t="shared" si="6"/>
        <v>-0.5</v>
      </c>
      <c r="F101">
        <f t="shared" si="7"/>
        <v>0</v>
      </c>
      <c r="G101">
        <f t="shared" si="8"/>
        <v>20.47607454983449</v>
      </c>
      <c r="I101">
        <f t="shared" si="9"/>
        <v>5.5555555555555556E-4</v>
      </c>
      <c r="J101">
        <f t="shared" si="10"/>
        <v>0</v>
      </c>
      <c r="K101">
        <f t="shared" si="11"/>
        <v>4.9142578919602775E-2</v>
      </c>
    </row>
    <row r="102" spans="1:11" x14ac:dyDescent="0.35">
      <c r="A102" s="2" t="s">
        <v>6</v>
      </c>
      <c r="B102" s="2">
        <v>99</v>
      </c>
      <c r="C102" s="2">
        <v>99</v>
      </c>
      <c r="D102" s="14">
        <v>0</v>
      </c>
      <c r="E102" s="1">
        <f t="shared" si="6"/>
        <v>-0.30555555555555558</v>
      </c>
      <c r="F102">
        <f t="shared" si="7"/>
        <v>0</v>
      </c>
      <c r="G102">
        <f t="shared" si="8"/>
        <v>0</v>
      </c>
      <c r="I102">
        <f t="shared" si="9"/>
        <v>5.5555555555555556E-4</v>
      </c>
      <c r="J102">
        <f t="shared" si="10"/>
        <v>0</v>
      </c>
      <c r="K102">
        <f t="shared" si="11"/>
        <v>0</v>
      </c>
    </row>
    <row r="103" spans="1:11" x14ac:dyDescent="0.35">
      <c r="A103" s="2" t="s">
        <v>6</v>
      </c>
      <c r="B103" s="2">
        <v>100</v>
      </c>
      <c r="C103" s="2">
        <v>100</v>
      </c>
      <c r="D103" s="14">
        <v>0</v>
      </c>
      <c r="E103" s="1">
        <f t="shared" si="6"/>
        <v>0</v>
      </c>
      <c r="F103">
        <f t="shared" si="7"/>
        <v>0</v>
      </c>
      <c r="G103">
        <f t="shared" si="8"/>
        <v>0</v>
      </c>
      <c r="I103">
        <f t="shared" si="9"/>
        <v>5.5555555555555556E-4</v>
      </c>
      <c r="J103">
        <f t="shared" si="10"/>
        <v>0</v>
      </c>
      <c r="K103">
        <f t="shared" si="11"/>
        <v>0</v>
      </c>
    </row>
    <row r="104" spans="1:11" x14ac:dyDescent="0.35">
      <c r="A104" s="2" t="s">
        <v>6</v>
      </c>
      <c r="B104" s="2">
        <v>101</v>
      </c>
      <c r="C104" s="2">
        <v>101</v>
      </c>
      <c r="D104" s="14">
        <v>0</v>
      </c>
      <c r="E104" s="1">
        <f t="shared" si="6"/>
        <v>0</v>
      </c>
      <c r="F104">
        <f t="shared" si="7"/>
        <v>0</v>
      </c>
      <c r="G104">
        <f t="shared" si="8"/>
        <v>0</v>
      </c>
      <c r="I104">
        <f t="shared" si="9"/>
        <v>5.5555555555555556E-4</v>
      </c>
      <c r="J104">
        <f t="shared" si="10"/>
        <v>0</v>
      </c>
      <c r="K104">
        <f t="shared" si="11"/>
        <v>0</v>
      </c>
    </row>
    <row r="105" spans="1:11" x14ac:dyDescent="0.35">
      <c r="A105" s="2" t="s">
        <v>6</v>
      </c>
      <c r="B105" s="2">
        <v>102</v>
      </c>
      <c r="C105" s="2">
        <v>102</v>
      </c>
      <c r="D105" s="14">
        <v>0</v>
      </c>
      <c r="E105" s="1">
        <f t="shared" si="6"/>
        <v>0</v>
      </c>
      <c r="F105">
        <f t="shared" si="7"/>
        <v>0</v>
      </c>
      <c r="G105">
        <f t="shared" si="8"/>
        <v>0</v>
      </c>
      <c r="I105">
        <f t="shared" si="9"/>
        <v>5.5555555555555556E-4</v>
      </c>
      <c r="J105">
        <f t="shared" si="10"/>
        <v>0</v>
      </c>
      <c r="K105">
        <f t="shared" si="11"/>
        <v>0</v>
      </c>
    </row>
    <row r="106" spans="1:11" x14ac:dyDescent="0.35">
      <c r="A106" s="2" t="s">
        <v>6</v>
      </c>
      <c r="B106" s="2">
        <v>103</v>
      </c>
      <c r="C106" s="2">
        <v>103</v>
      </c>
      <c r="D106" s="14">
        <v>0</v>
      </c>
      <c r="E106" s="1">
        <f t="shared" si="6"/>
        <v>0</v>
      </c>
      <c r="F106">
        <f t="shared" si="7"/>
        <v>0</v>
      </c>
      <c r="G106">
        <f t="shared" si="8"/>
        <v>0</v>
      </c>
      <c r="I106">
        <f t="shared" si="9"/>
        <v>5.5555555555555556E-4</v>
      </c>
      <c r="J106">
        <f t="shared" si="10"/>
        <v>0</v>
      </c>
      <c r="K106">
        <f t="shared" si="11"/>
        <v>0</v>
      </c>
    </row>
    <row r="107" spans="1:11" x14ac:dyDescent="0.35">
      <c r="A107" s="2" t="s">
        <v>6</v>
      </c>
      <c r="B107" s="2">
        <v>104</v>
      </c>
      <c r="C107" s="2">
        <v>104</v>
      </c>
      <c r="D107" s="14">
        <v>0</v>
      </c>
      <c r="E107" s="1">
        <f t="shared" si="6"/>
        <v>0</v>
      </c>
      <c r="F107">
        <f t="shared" si="7"/>
        <v>0</v>
      </c>
      <c r="G107">
        <f t="shared" si="8"/>
        <v>0</v>
      </c>
      <c r="I107">
        <f t="shared" si="9"/>
        <v>5.5555555555555556E-4</v>
      </c>
      <c r="J107">
        <f t="shared" si="10"/>
        <v>0</v>
      </c>
      <c r="K107">
        <f t="shared" si="11"/>
        <v>0</v>
      </c>
    </row>
    <row r="108" spans="1:11" x14ac:dyDescent="0.35">
      <c r="A108" s="2" t="s">
        <v>6</v>
      </c>
      <c r="B108" s="2">
        <v>105</v>
      </c>
      <c r="C108" s="2">
        <v>105</v>
      </c>
      <c r="D108" s="14">
        <v>0</v>
      </c>
      <c r="E108" s="1">
        <f t="shared" si="6"/>
        <v>0</v>
      </c>
      <c r="F108">
        <f t="shared" si="7"/>
        <v>0</v>
      </c>
      <c r="G108">
        <f t="shared" si="8"/>
        <v>0</v>
      </c>
      <c r="I108">
        <f t="shared" si="9"/>
        <v>5.5555555555555556E-4</v>
      </c>
      <c r="J108">
        <f t="shared" si="10"/>
        <v>0</v>
      </c>
      <c r="K108">
        <f t="shared" si="11"/>
        <v>0</v>
      </c>
    </row>
    <row r="109" spans="1:11" x14ac:dyDescent="0.35">
      <c r="A109" s="2" t="s">
        <v>6</v>
      </c>
      <c r="B109" s="2">
        <v>106</v>
      </c>
      <c r="C109" s="2">
        <v>106</v>
      </c>
      <c r="D109" s="14">
        <v>0</v>
      </c>
      <c r="E109" s="1">
        <f t="shared" si="6"/>
        <v>0</v>
      </c>
      <c r="F109">
        <f t="shared" si="7"/>
        <v>0</v>
      </c>
      <c r="G109">
        <f t="shared" si="8"/>
        <v>0</v>
      </c>
      <c r="I109">
        <f t="shared" si="9"/>
        <v>5.5555555555555556E-4</v>
      </c>
      <c r="J109">
        <f t="shared" si="10"/>
        <v>0</v>
      </c>
      <c r="K109">
        <f t="shared" si="11"/>
        <v>0</v>
      </c>
    </row>
    <row r="110" spans="1:11" x14ac:dyDescent="0.35">
      <c r="A110" s="2" t="s">
        <v>6</v>
      </c>
      <c r="B110" s="2">
        <v>107</v>
      </c>
      <c r="C110" s="2">
        <v>107</v>
      </c>
      <c r="D110" s="14">
        <v>0</v>
      </c>
      <c r="E110" s="1">
        <f t="shared" si="6"/>
        <v>0</v>
      </c>
      <c r="F110">
        <f t="shared" si="7"/>
        <v>0</v>
      </c>
      <c r="G110">
        <f t="shared" si="8"/>
        <v>0</v>
      </c>
      <c r="I110">
        <f t="shared" si="9"/>
        <v>5.5555555555555556E-4</v>
      </c>
      <c r="J110">
        <f t="shared" si="10"/>
        <v>0</v>
      </c>
      <c r="K110">
        <f t="shared" si="11"/>
        <v>0</v>
      </c>
    </row>
    <row r="111" spans="1:11" x14ac:dyDescent="0.35">
      <c r="A111" s="2" t="s">
        <v>6</v>
      </c>
      <c r="B111" s="2">
        <v>108</v>
      </c>
      <c r="C111" s="2">
        <v>108</v>
      </c>
      <c r="D111" s="14">
        <v>0</v>
      </c>
      <c r="E111" s="1">
        <f t="shared" si="6"/>
        <v>0</v>
      </c>
      <c r="F111">
        <f t="shared" si="7"/>
        <v>0</v>
      </c>
      <c r="G111">
        <f t="shared" si="8"/>
        <v>0</v>
      </c>
      <c r="I111">
        <f t="shared" si="9"/>
        <v>5.5555555555555556E-4</v>
      </c>
      <c r="J111">
        <f t="shared" si="10"/>
        <v>0</v>
      </c>
      <c r="K111">
        <f t="shared" si="11"/>
        <v>0</v>
      </c>
    </row>
    <row r="112" spans="1:11" x14ac:dyDescent="0.35">
      <c r="A112" s="2" t="s">
        <v>6</v>
      </c>
      <c r="B112" s="2">
        <v>109</v>
      </c>
      <c r="C112" s="2">
        <v>109</v>
      </c>
      <c r="D112" s="14">
        <v>0</v>
      </c>
      <c r="E112" s="1">
        <f t="shared" si="6"/>
        <v>0</v>
      </c>
      <c r="F112">
        <f t="shared" si="7"/>
        <v>0</v>
      </c>
      <c r="G112">
        <f t="shared" si="8"/>
        <v>0</v>
      </c>
      <c r="I112">
        <f t="shared" si="9"/>
        <v>5.5555555555555556E-4</v>
      </c>
      <c r="J112">
        <f t="shared" si="10"/>
        <v>0</v>
      </c>
      <c r="K112">
        <f t="shared" si="11"/>
        <v>0</v>
      </c>
    </row>
    <row r="113" spans="1:11" x14ac:dyDescent="0.35">
      <c r="A113" s="2" t="s">
        <v>6</v>
      </c>
      <c r="B113" s="2">
        <v>110</v>
      </c>
      <c r="C113" s="2">
        <v>110</v>
      </c>
      <c r="D113" s="14">
        <v>0</v>
      </c>
      <c r="E113" s="1">
        <f t="shared" si="6"/>
        <v>0</v>
      </c>
      <c r="F113">
        <f t="shared" si="7"/>
        <v>0</v>
      </c>
      <c r="G113">
        <f t="shared" si="8"/>
        <v>0</v>
      </c>
      <c r="I113">
        <f t="shared" si="9"/>
        <v>5.5555555555555556E-4</v>
      </c>
      <c r="J113">
        <f t="shared" si="10"/>
        <v>0</v>
      </c>
      <c r="K113">
        <f t="shared" si="11"/>
        <v>0</v>
      </c>
    </row>
    <row r="114" spans="1:11" x14ac:dyDescent="0.35">
      <c r="A114" s="2" t="s">
        <v>6</v>
      </c>
      <c r="B114" s="2">
        <v>111</v>
      </c>
      <c r="C114" s="2">
        <v>111</v>
      </c>
      <c r="D114" s="14">
        <v>0</v>
      </c>
      <c r="E114" s="1">
        <f t="shared" si="6"/>
        <v>0</v>
      </c>
      <c r="F114">
        <f t="shared" si="7"/>
        <v>0</v>
      </c>
      <c r="G114">
        <f t="shared" si="8"/>
        <v>0</v>
      </c>
      <c r="I114">
        <f t="shared" si="9"/>
        <v>5.5555555555555556E-4</v>
      </c>
      <c r="J114">
        <f t="shared" si="10"/>
        <v>0</v>
      </c>
      <c r="K114">
        <f t="shared" si="11"/>
        <v>0</v>
      </c>
    </row>
    <row r="115" spans="1:11" x14ac:dyDescent="0.35">
      <c r="A115" s="2" t="s">
        <v>6</v>
      </c>
      <c r="B115" s="2">
        <v>112</v>
      </c>
      <c r="C115" s="2">
        <v>112</v>
      </c>
      <c r="D115" s="14">
        <v>0</v>
      </c>
      <c r="E115" s="1">
        <f t="shared" si="6"/>
        <v>0</v>
      </c>
      <c r="F115">
        <f t="shared" si="7"/>
        <v>0</v>
      </c>
      <c r="G115">
        <f t="shared" si="8"/>
        <v>0</v>
      </c>
      <c r="I115">
        <f t="shared" si="9"/>
        <v>5.5555555555555556E-4</v>
      </c>
      <c r="J115">
        <f t="shared" si="10"/>
        <v>0</v>
      </c>
      <c r="K115">
        <f t="shared" si="11"/>
        <v>0</v>
      </c>
    </row>
    <row r="116" spans="1:11" x14ac:dyDescent="0.35">
      <c r="A116" s="2" t="s">
        <v>6</v>
      </c>
      <c r="B116" s="2">
        <v>113</v>
      </c>
      <c r="C116" s="2">
        <v>113</v>
      </c>
      <c r="D116" s="14">
        <v>0</v>
      </c>
      <c r="E116" s="1">
        <f t="shared" si="6"/>
        <v>0</v>
      </c>
      <c r="F116">
        <f t="shared" si="7"/>
        <v>0</v>
      </c>
      <c r="G116">
        <f t="shared" si="8"/>
        <v>0</v>
      </c>
      <c r="I116">
        <f t="shared" si="9"/>
        <v>5.5555555555555556E-4</v>
      </c>
      <c r="J116">
        <f t="shared" si="10"/>
        <v>0</v>
      </c>
      <c r="K116">
        <f t="shared" si="11"/>
        <v>0</v>
      </c>
    </row>
    <row r="117" spans="1:11" x14ac:dyDescent="0.35">
      <c r="A117" s="2" t="s">
        <v>6</v>
      </c>
      <c r="B117" s="2">
        <v>114</v>
      </c>
      <c r="C117" s="2">
        <v>114</v>
      </c>
      <c r="D117" s="14">
        <v>0</v>
      </c>
      <c r="E117" s="1">
        <f t="shared" si="6"/>
        <v>0</v>
      </c>
      <c r="F117">
        <f t="shared" si="7"/>
        <v>0</v>
      </c>
      <c r="G117">
        <f t="shared" si="8"/>
        <v>0</v>
      </c>
      <c r="I117">
        <f t="shared" si="9"/>
        <v>5.5555555555555556E-4</v>
      </c>
      <c r="J117">
        <f t="shared" si="10"/>
        <v>0</v>
      </c>
      <c r="K117">
        <f t="shared" si="11"/>
        <v>0</v>
      </c>
    </row>
    <row r="118" spans="1:11" x14ac:dyDescent="0.35">
      <c r="A118" s="2" t="s">
        <v>6</v>
      </c>
      <c r="B118" s="2">
        <v>115</v>
      </c>
      <c r="C118" s="2">
        <v>115</v>
      </c>
      <c r="D118" s="14">
        <v>0</v>
      </c>
      <c r="E118" s="1">
        <f t="shared" si="6"/>
        <v>0</v>
      </c>
      <c r="F118">
        <f t="shared" si="7"/>
        <v>0</v>
      </c>
      <c r="G118">
        <f t="shared" si="8"/>
        <v>0</v>
      </c>
      <c r="I118">
        <f t="shared" si="9"/>
        <v>5.5555555555555556E-4</v>
      </c>
      <c r="J118">
        <f t="shared" si="10"/>
        <v>0</v>
      </c>
      <c r="K118">
        <f t="shared" si="11"/>
        <v>0</v>
      </c>
    </row>
    <row r="119" spans="1:11" x14ac:dyDescent="0.35">
      <c r="A119" s="2" t="s">
        <v>6</v>
      </c>
      <c r="B119" s="2">
        <v>116</v>
      </c>
      <c r="C119" s="2">
        <v>116</v>
      </c>
      <c r="D119" s="14">
        <v>0</v>
      </c>
      <c r="E119" s="1">
        <f t="shared" si="6"/>
        <v>0</v>
      </c>
      <c r="F119">
        <f t="shared" si="7"/>
        <v>0</v>
      </c>
      <c r="G119">
        <f t="shared" si="8"/>
        <v>0</v>
      </c>
      <c r="I119">
        <f t="shared" si="9"/>
        <v>5.5555555555555556E-4</v>
      </c>
      <c r="J119">
        <f t="shared" si="10"/>
        <v>0</v>
      </c>
      <c r="K119">
        <f t="shared" si="11"/>
        <v>0</v>
      </c>
    </row>
    <row r="120" spans="1:11" x14ac:dyDescent="0.35">
      <c r="A120" s="2" t="s">
        <v>6</v>
      </c>
      <c r="B120" s="2">
        <v>117</v>
      </c>
      <c r="C120" s="2">
        <v>117</v>
      </c>
      <c r="D120" s="14">
        <v>0</v>
      </c>
      <c r="E120" s="1">
        <f t="shared" si="6"/>
        <v>0</v>
      </c>
      <c r="F120">
        <f t="shared" si="7"/>
        <v>0</v>
      </c>
      <c r="G120">
        <f t="shared" si="8"/>
        <v>0</v>
      </c>
      <c r="I120">
        <f t="shared" si="9"/>
        <v>5.5555555555555556E-4</v>
      </c>
      <c r="J120">
        <f t="shared" si="10"/>
        <v>0</v>
      </c>
      <c r="K120">
        <f t="shared" si="11"/>
        <v>0</v>
      </c>
    </row>
    <row r="121" spans="1:11" x14ac:dyDescent="0.35">
      <c r="A121" s="2" t="s">
        <v>6</v>
      </c>
      <c r="B121" s="2">
        <v>118</v>
      </c>
      <c r="C121" s="2">
        <v>118</v>
      </c>
      <c r="D121" s="14">
        <v>0</v>
      </c>
      <c r="E121" s="1">
        <f t="shared" si="6"/>
        <v>0</v>
      </c>
      <c r="F121">
        <f t="shared" si="7"/>
        <v>0</v>
      </c>
      <c r="G121">
        <f t="shared" si="8"/>
        <v>0</v>
      </c>
      <c r="I121">
        <f t="shared" si="9"/>
        <v>5.5555555555555556E-4</v>
      </c>
      <c r="J121">
        <f t="shared" si="10"/>
        <v>0</v>
      </c>
      <c r="K121">
        <f t="shared" si="11"/>
        <v>0</v>
      </c>
    </row>
    <row r="122" spans="1:11" x14ac:dyDescent="0.35">
      <c r="A122" s="2" t="s">
        <v>6</v>
      </c>
      <c r="B122" s="2">
        <v>119</v>
      </c>
      <c r="C122" s="2">
        <v>119</v>
      </c>
      <c r="D122" s="14">
        <v>0</v>
      </c>
      <c r="E122" s="1">
        <f t="shared" si="6"/>
        <v>0</v>
      </c>
      <c r="F122">
        <f t="shared" si="7"/>
        <v>0</v>
      </c>
      <c r="G122">
        <f t="shared" si="8"/>
        <v>0</v>
      </c>
      <c r="I122">
        <f t="shared" si="9"/>
        <v>5.5555555555555556E-4</v>
      </c>
      <c r="J122">
        <f t="shared" si="10"/>
        <v>0</v>
      </c>
      <c r="K122">
        <f t="shared" si="11"/>
        <v>0</v>
      </c>
    </row>
    <row r="123" spans="1:11" x14ac:dyDescent="0.35">
      <c r="A123" s="2" t="s">
        <v>6</v>
      </c>
      <c r="B123" s="2">
        <v>120</v>
      </c>
      <c r="C123" s="2">
        <v>120</v>
      </c>
      <c r="D123" s="14">
        <v>0</v>
      </c>
      <c r="E123" s="1">
        <f t="shared" si="6"/>
        <v>0</v>
      </c>
      <c r="F123">
        <f t="shared" si="7"/>
        <v>0</v>
      </c>
      <c r="G123">
        <f t="shared" si="8"/>
        <v>0</v>
      </c>
      <c r="I123">
        <f t="shared" si="9"/>
        <v>5.5555555555555556E-4</v>
      </c>
      <c r="J123">
        <f t="shared" si="10"/>
        <v>0</v>
      </c>
      <c r="K123">
        <f t="shared" si="11"/>
        <v>0</v>
      </c>
    </row>
    <row r="124" spans="1:11" x14ac:dyDescent="0.35">
      <c r="A124" s="2" t="s">
        <v>6</v>
      </c>
      <c r="B124" s="2">
        <v>121</v>
      </c>
      <c r="C124" s="2">
        <v>121</v>
      </c>
      <c r="D124" s="14">
        <v>0</v>
      </c>
      <c r="E124" s="1">
        <f t="shared" si="6"/>
        <v>0</v>
      </c>
      <c r="F124">
        <f t="shared" si="7"/>
        <v>0</v>
      </c>
      <c r="G124">
        <f t="shared" si="8"/>
        <v>0</v>
      </c>
      <c r="I124">
        <f t="shared" si="9"/>
        <v>5.5555555555555556E-4</v>
      </c>
      <c r="J124">
        <f t="shared" si="10"/>
        <v>0</v>
      </c>
      <c r="K124">
        <f t="shared" si="11"/>
        <v>0</v>
      </c>
    </row>
    <row r="125" spans="1:11" x14ac:dyDescent="0.35">
      <c r="A125" s="2" t="s">
        <v>6</v>
      </c>
      <c r="B125" s="2">
        <v>122</v>
      </c>
      <c r="C125" s="2">
        <v>122</v>
      </c>
      <c r="D125" s="14">
        <v>0</v>
      </c>
      <c r="E125" s="1">
        <f t="shared" si="6"/>
        <v>0</v>
      </c>
      <c r="F125">
        <f t="shared" si="7"/>
        <v>0</v>
      </c>
      <c r="G125">
        <f t="shared" si="8"/>
        <v>0</v>
      </c>
      <c r="I125">
        <f t="shared" si="9"/>
        <v>5.5555555555555556E-4</v>
      </c>
      <c r="J125">
        <f t="shared" si="10"/>
        <v>0</v>
      </c>
      <c r="K125">
        <f t="shared" si="11"/>
        <v>0</v>
      </c>
    </row>
    <row r="126" spans="1:11" x14ac:dyDescent="0.35">
      <c r="A126" s="2" t="s">
        <v>6</v>
      </c>
      <c r="B126" s="2">
        <v>123</v>
      </c>
      <c r="C126" s="2">
        <v>123</v>
      </c>
      <c r="D126" s="14">
        <v>0</v>
      </c>
      <c r="E126" s="1">
        <f t="shared" si="6"/>
        <v>0</v>
      </c>
      <c r="F126">
        <f t="shared" si="7"/>
        <v>0</v>
      </c>
      <c r="G126">
        <f t="shared" si="8"/>
        <v>0</v>
      </c>
      <c r="I126">
        <f t="shared" si="9"/>
        <v>5.5555555555555556E-4</v>
      </c>
      <c r="J126">
        <f t="shared" si="10"/>
        <v>0</v>
      </c>
      <c r="K126">
        <f t="shared" si="11"/>
        <v>0</v>
      </c>
    </row>
    <row r="127" spans="1:11" x14ac:dyDescent="0.35">
      <c r="A127" s="2" t="s">
        <v>6</v>
      </c>
      <c r="B127" s="2">
        <v>124</v>
      </c>
      <c r="C127" s="2">
        <v>124</v>
      </c>
      <c r="D127" s="14">
        <v>0</v>
      </c>
      <c r="E127" s="1">
        <f t="shared" si="6"/>
        <v>0</v>
      </c>
      <c r="F127">
        <f t="shared" si="7"/>
        <v>0</v>
      </c>
      <c r="G127">
        <f t="shared" si="8"/>
        <v>0</v>
      </c>
      <c r="I127">
        <f t="shared" si="9"/>
        <v>5.5555555555555556E-4</v>
      </c>
      <c r="J127">
        <f t="shared" si="10"/>
        <v>0</v>
      </c>
      <c r="K127">
        <f t="shared" si="11"/>
        <v>0</v>
      </c>
    </row>
    <row r="128" spans="1:11" x14ac:dyDescent="0.35">
      <c r="A128" s="2" t="s">
        <v>6</v>
      </c>
      <c r="B128" s="2">
        <v>125</v>
      </c>
      <c r="C128" s="2">
        <v>125</v>
      </c>
      <c r="D128" s="14">
        <v>0</v>
      </c>
      <c r="E128" s="1">
        <f t="shared" si="6"/>
        <v>0</v>
      </c>
      <c r="F128">
        <f t="shared" si="7"/>
        <v>0</v>
      </c>
      <c r="G128">
        <f t="shared" si="8"/>
        <v>0</v>
      </c>
      <c r="I128">
        <f t="shared" si="9"/>
        <v>5.5555555555555556E-4</v>
      </c>
      <c r="J128">
        <f t="shared" si="10"/>
        <v>0</v>
      </c>
      <c r="K128">
        <f t="shared" si="11"/>
        <v>0</v>
      </c>
    </row>
    <row r="129" spans="1:11" x14ac:dyDescent="0.35">
      <c r="A129" s="2" t="s">
        <v>6</v>
      </c>
      <c r="B129" s="2">
        <v>126</v>
      </c>
      <c r="C129" s="2">
        <v>126</v>
      </c>
      <c r="D129" s="14">
        <v>0</v>
      </c>
      <c r="E129" s="1">
        <f t="shared" si="6"/>
        <v>0</v>
      </c>
      <c r="F129">
        <f t="shared" si="7"/>
        <v>0</v>
      </c>
      <c r="G129">
        <f t="shared" si="8"/>
        <v>0</v>
      </c>
      <c r="I129">
        <f t="shared" si="9"/>
        <v>5.5555555555555556E-4</v>
      </c>
      <c r="J129">
        <f t="shared" si="10"/>
        <v>0</v>
      </c>
      <c r="K129">
        <f t="shared" si="11"/>
        <v>0</v>
      </c>
    </row>
    <row r="130" spans="1:11" x14ac:dyDescent="0.35">
      <c r="A130" s="2" t="s">
        <v>6</v>
      </c>
      <c r="B130" s="2">
        <v>127</v>
      </c>
      <c r="C130" s="2">
        <v>127</v>
      </c>
      <c r="D130" s="14">
        <v>0</v>
      </c>
      <c r="E130" s="1">
        <f t="shared" si="6"/>
        <v>0</v>
      </c>
      <c r="F130">
        <f t="shared" si="7"/>
        <v>0</v>
      </c>
      <c r="G130">
        <f t="shared" si="8"/>
        <v>0</v>
      </c>
      <c r="I130">
        <f t="shared" si="9"/>
        <v>5.5555555555555556E-4</v>
      </c>
      <c r="J130">
        <f t="shared" si="10"/>
        <v>0</v>
      </c>
      <c r="K130">
        <f t="shared" si="11"/>
        <v>0</v>
      </c>
    </row>
    <row r="131" spans="1:11" x14ac:dyDescent="0.35">
      <c r="A131" s="2" t="s">
        <v>6</v>
      </c>
      <c r="B131" s="2">
        <v>128</v>
      </c>
      <c r="C131" s="2">
        <v>128</v>
      </c>
      <c r="D131" s="14">
        <v>0</v>
      </c>
      <c r="E131" s="1">
        <f t="shared" si="6"/>
        <v>0</v>
      </c>
      <c r="F131">
        <f t="shared" si="7"/>
        <v>0</v>
      </c>
      <c r="G131">
        <f t="shared" si="8"/>
        <v>0</v>
      </c>
      <c r="I131">
        <f t="shared" si="9"/>
        <v>5.5555555555555556E-4</v>
      </c>
      <c r="J131">
        <f t="shared" si="10"/>
        <v>0</v>
      </c>
      <c r="K131">
        <f t="shared" si="11"/>
        <v>0</v>
      </c>
    </row>
    <row r="132" spans="1:11" x14ac:dyDescent="0.35">
      <c r="A132" s="2" t="s">
        <v>6</v>
      </c>
      <c r="B132" s="2">
        <v>129</v>
      </c>
      <c r="C132" s="2">
        <v>129</v>
      </c>
      <c r="D132" s="14">
        <v>0</v>
      </c>
      <c r="E132" s="1">
        <f t="shared" si="6"/>
        <v>0</v>
      </c>
      <c r="F132">
        <f t="shared" si="7"/>
        <v>0</v>
      </c>
      <c r="G132">
        <f t="shared" si="8"/>
        <v>0</v>
      </c>
      <c r="I132">
        <f t="shared" si="9"/>
        <v>5.5555555555555556E-4</v>
      </c>
      <c r="J132">
        <f t="shared" si="10"/>
        <v>0</v>
      </c>
      <c r="K132">
        <f t="shared" si="11"/>
        <v>0</v>
      </c>
    </row>
    <row r="133" spans="1:11" x14ac:dyDescent="0.35">
      <c r="A133" s="2" t="s">
        <v>6</v>
      </c>
      <c r="B133" s="2">
        <v>130</v>
      </c>
      <c r="C133" s="2">
        <v>130</v>
      </c>
      <c r="D133" s="14">
        <v>0</v>
      </c>
      <c r="E133" s="1">
        <f t="shared" ref="E133:E196" si="12">($D134-$D132)/2/3.6</f>
        <v>0</v>
      </c>
      <c r="F133">
        <f t="shared" ref="F133:F196" si="13">IF(D133=0,0,MAX(0,0.285*(1600*E133 + 1600*9.81*0.015 + 0.5*1.225*0.32*2.2*(D133/3.6)^2)))</f>
        <v>0</v>
      </c>
      <c r="G133">
        <f t="shared" ref="G133:G196" si="14">60*D133/(2*PI()*3.6*0.285)</f>
        <v>0</v>
      </c>
      <c r="I133">
        <f t="shared" ref="I133:I196" si="15">1/1800</f>
        <v>5.5555555555555556E-4</v>
      </c>
      <c r="J133">
        <f t="shared" ref="J133:J196" si="16">F133/(M$3*3.6)</f>
        <v>0</v>
      </c>
      <c r="K133">
        <f t="shared" ref="K133:K196" si="17">G133*3.6/N$3</f>
        <v>0</v>
      </c>
    </row>
    <row r="134" spans="1:11" x14ac:dyDescent="0.35">
      <c r="A134" s="2" t="s">
        <v>6</v>
      </c>
      <c r="B134" s="2">
        <v>131</v>
      </c>
      <c r="C134" s="2">
        <v>131</v>
      </c>
      <c r="D134" s="14">
        <v>0</v>
      </c>
      <c r="E134" s="1">
        <f t="shared" si="12"/>
        <v>0</v>
      </c>
      <c r="F134">
        <f t="shared" si="13"/>
        <v>0</v>
      </c>
      <c r="G134">
        <f t="shared" si="14"/>
        <v>0</v>
      </c>
      <c r="I134">
        <f t="shared" si="15"/>
        <v>5.5555555555555556E-4</v>
      </c>
      <c r="J134">
        <f t="shared" si="16"/>
        <v>0</v>
      </c>
      <c r="K134">
        <f t="shared" si="17"/>
        <v>0</v>
      </c>
    </row>
    <row r="135" spans="1:11" x14ac:dyDescent="0.35">
      <c r="A135" s="2" t="s">
        <v>6</v>
      </c>
      <c r="B135" s="2">
        <v>132</v>
      </c>
      <c r="C135" s="2">
        <v>132</v>
      </c>
      <c r="D135" s="14">
        <v>0</v>
      </c>
      <c r="E135" s="1">
        <f t="shared" si="12"/>
        <v>0</v>
      </c>
      <c r="F135">
        <f t="shared" si="13"/>
        <v>0</v>
      </c>
      <c r="G135">
        <f t="shared" si="14"/>
        <v>0</v>
      </c>
      <c r="I135">
        <f t="shared" si="15"/>
        <v>5.5555555555555556E-4</v>
      </c>
      <c r="J135">
        <f t="shared" si="16"/>
        <v>0</v>
      </c>
      <c r="K135">
        <f t="shared" si="17"/>
        <v>0</v>
      </c>
    </row>
    <row r="136" spans="1:11" x14ac:dyDescent="0.35">
      <c r="A136" s="2" t="s">
        <v>6</v>
      </c>
      <c r="B136" s="2">
        <v>133</v>
      </c>
      <c r="C136" s="2">
        <v>133</v>
      </c>
      <c r="D136" s="14">
        <v>0</v>
      </c>
      <c r="E136" s="1">
        <f t="shared" si="12"/>
        <v>0</v>
      </c>
      <c r="F136">
        <f t="shared" si="13"/>
        <v>0</v>
      </c>
      <c r="G136">
        <f t="shared" si="14"/>
        <v>0</v>
      </c>
      <c r="I136">
        <f t="shared" si="15"/>
        <v>5.5555555555555556E-4</v>
      </c>
      <c r="J136">
        <f t="shared" si="16"/>
        <v>0</v>
      </c>
      <c r="K136">
        <f t="shared" si="17"/>
        <v>0</v>
      </c>
    </row>
    <row r="137" spans="1:11" x14ac:dyDescent="0.35">
      <c r="A137" s="2" t="s">
        <v>6</v>
      </c>
      <c r="B137" s="2">
        <v>134</v>
      </c>
      <c r="C137" s="2">
        <v>134</v>
      </c>
      <c r="D137" s="14">
        <v>0</v>
      </c>
      <c r="E137" s="1">
        <f t="shared" si="12"/>
        <v>0</v>
      </c>
      <c r="F137">
        <f t="shared" si="13"/>
        <v>0</v>
      </c>
      <c r="G137">
        <f t="shared" si="14"/>
        <v>0</v>
      </c>
      <c r="I137">
        <f t="shared" si="15"/>
        <v>5.5555555555555556E-4</v>
      </c>
      <c r="J137">
        <f t="shared" si="16"/>
        <v>0</v>
      </c>
      <c r="K137">
        <f t="shared" si="17"/>
        <v>0</v>
      </c>
    </row>
    <row r="138" spans="1:11" x14ac:dyDescent="0.35">
      <c r="A138" s="2" t="s">
        <v>6</v>
      </c>
      <c r="B138" s="2">
        <v>135</v>
      </c>
      <c r="C138" s="2">
        <v>135</v>
      </c>
      <c r="D138" s="14">
        <v>0</v>
      </c>
      <c r="E138" s="1">
        <f t="shared" si="12"/>
        <v>0</v>
      </c>
      <c r="F138">
        <f t="shared" si="13"/>
        <v>0</v>
      </c>
      <c r="G138">
        <f t="shared" si="14"/>
        <v>0</v>
      </c>
      <c r="I138">
        <f t="shared" si="15"/>
        <v>5.5555555555555556E-4</v>
      </c>
      <c r="J138">
        <f t="shared" si="16"/>
        <v>0</v>
      </c>
      <c r="K138">
        <f t="shared" si="17"/>
        <v>0</v>
      </c>
    </row>
    <row r="139" spans="1:11" x14ac:dyDescent="0.35">
      <c r="A139" s="2" t="s">
        <v>6</v>
      </c>
      <c r="B139" s="2">
        <v>136</v>
      </c>
      <c r="C139" s="2">
        <v>136</v>
      </c>
      <c r="D139" s="14">
        <v>0</v>
      </c>
      <c r="E139" s="1">
        <f t="shared" si="12"/>
        <v>0</v>
      </c>
      <c r="F139">
        <f t="shared" si="13"/>
        <v>0</v>
      </c>
      <c r="G139">
        <f t="shared" si="14"/>
        <v>0</v>
      </c>
      <c r="I139">
        <f t="shared" si="15"/>
        <v>5.5555555555555556E-4</v>
      </c>
      <c r="J139">
        <f t="shared" si="16"/>
        <v>0</v>
      </c>
      <c r="K139">
        <f t="shared" si="17"/>
        <v>0</v>
      </c>
    </row>
    <row r="140" spans="1:11" x14ac:dyDescent="0.35">
      <c r="A140" s="2" t="s">
        <v>6</v>
      </c>
      <c r="B140" s="2">
        <v>137</v>
      </c>
      <c r="C140" s="2">
        <v>137</v>
      </c>
      <c r="D140" s="14">
        <v>0</v>
      </c>
      <c r="E140" s="1">
        <f t="shared" si="12"/>
        <v>2.777777777777778E-2</v>
      </c>
      <c r="F140">
        <f t="shared" si="13"/>
        <v>0</v>
      </c>
      <c r="G140">
        <f t="shared" si="14"/>
        <v>0</v>
      </c>
      <c r="I140">
        <f t="shared" si="15"/>
        <v>5.5555555555555556E-4</v>
      </c>
      <c r="J140">
        <f t="shared" si="16"/>
        <v>0</v>
      </c>
      <c r="K140">
        <f t="shared" si="17"/>
        <v>0</v>
      </c>
    </row>
    <row r="141" spans="1:11" x14ac:dyDescent="0.35">
      <c r="A141" s="2" t="s">
        <v>6</v>
      </c>
      <c r="B141" s="2">
        <v>138</v>
      </c>
      <c r="C141" s="2">
        <v>138</v>
      </c>
      <c r="D141" s="14">
        <v>0.2</v>
      </c>
      <c r="E141" s="1">
        <f t="shared" si="12"/>
        <v>0.2638888888888889</v>
      </c>
      <c r="F141">
        <f t="shared" si="13"/>
        <v>187.4341126296296</v>
      </c>
      <c r="G141">
        <f t="shared" si="14"/>
        <v>1.8614613227122263</v>
      </c>
      <c r="I141">
        <f t="shared" si="15"/>
        <v>5.5555555555555556E-4</v>
      </c>
      <c r="J141">
        <f t="shared" si="16"/>
        <v>0.26032515643004112</v>
      </c>
      <c r="K141">
        <f t="shared" si="17"/>
        <v>4.4675071745093435E-3</v>
      </c>
    </row>
    <row r="142" spans="1:11" x14ac:dyDescent="0.35">
      <c r="A142" s="2" t="s">
        <v>6</v>
      </c>
      <c r="B142" s="2">
        <v>139</v>
      </c>
      <c r="C142" s="2">
        <v>139</v>
      </c>
      <c r="D142" s="14">
        <v>1.9</v>
      </c>
      <c r="E142" s="1">
        <f t="shared" si="12"/>
        <v>0.81944444444444431</v>
      </c>
      <c r="F142">
        <f t="shared" si="13"/>
        <v>440.80129815740736</v>
      </c>
      <c r="G142">
        <f t="shared" si="14"/>
        <v>17.683882565766151</v>
      </c>
      <c r="I142">
        <f t="shared" si="15"/>
        <v>5.5555555555555556E-4</v>
      </c>
      <c r="J142">
        <f t="shared" si="16"/>
        <v>0.61222402521862129</v>
      </c>
      <c r="K142">
        <f t="shared" si="17"/>
        <v>4.2441318157838762E-2</v>
      </c>
    </row>
    <row r="143" spans="1:11" x14ac:dyDescent="0.35">
      <c r="A143" s="2" t="s">
        <v>6</v>
      </c>
      <c r="B143" s="2">
        <v>140</v>
      </c>
      <c r="C143" s="2">
        <v>140</v>
      </c>
      <c r="D143" s="14">
        <v>6.1</v>
      </c>
      <c r="E143" s="1">
        <f t="shared" si="12"/>
        <v>1.3611111111111109</v>
      </c>
      <c r="F143">
        <f t="shared" si="13"/>
        <v>688.11990704629613</v>
      </c>
      <c r="G143">
        <f t="shared" si="14"/>
        <v>56.774570342722903</v>
      </c>
      <c r="I143">
        <f t="shared" si="15"/>
        <v>5.5555555555555556E-4</v>
      </c>
      <c r="J143">
        <f t="shared" si="16"/>
        <v>0.95572209311985579</v>
      </c>
      <c r="K143">
        <f t="shared" si="17"/>
        <v>0.13625896882253496</v>
      </c>
    </row>
    <row r="144" spans="1:11" x14ac:dyDescent="0.35">
      <c r="A144" s="2" t="s">
        <v>6</v>
      </c>
      <c r="B144" s="2">
        <v>141</v>
      </c>
      <c r="C144" s="2">
        <v>141</v>
      </c>
      <c r="D144" s="14">
        <v>11.7</v>
      </c>
      <c r="E144" s="1">
        <f t="shared" si="12"/>
        <v>1.4305555555555554</v>
      </c>
      <c r="F144">
        <f t="shared" si="13"/>
        <v>720.73178008333321</v>
      </c>
      <c r="G144">
        <f t="shared" si="14"/>
        <v>108.89548737866524</v>
      </c>
      <c r="I144">
        <f t="shared" si="15"/>
        <v>5.5555555555555556E-4</v>
      </c>
      <c r="J144">
        <f t="shared" si="16"/>
        <v>1.0010163612268517</v>
      </c>
      <c r="K144">
        <f t="shared" si="17"/>
        <v>0.26134916970879657</v>
      </c>
    </row>
    <row r="145" spans="1:11" x14ac:dyDescent="0.35">
      <c r="A145" s="2" t="s">
        <v>6</v>
      </c>
      <c r="B145" s="2">
        <v>142</v>
      </c>
      <c r="C145" s="2">
        <v>142</v>
      </c>
      <c r="D145" s="14">
        <v>16.399999999999999</v>
      </c>
      <c r="E145" s="1">
        <f t="shared" si="12"/>
        <v>0.99999999999999989</v>
      </c>
      <c r="F145">
        <f t="shared" si="13"/>
        <v>525.65078829629624</v>
      </c>
      <c r="G145">
        <f t="shared" si="14"/>
        <v>152.63982846240253</v>
      </c>
      <c r="I145">
        <f t="shared" si="15"/>
        <v>5.5555555555555556E-4</v>
      </c>
      <c r="J145">
        <f t="shared" si="16"/>
        <v>0.73007053930041144</v>
      </c>
      <c r="K145">
        <f t="shared" si="17"/>
        <v>0.36633558830976609</v>
      </c>
    </row>
    <row r="146" spans="1:11" x14ac:dyDescent="0.35">
      <c r="A146" s="2" t="s">
        <v>6</v>
      </c>
      <c r="B146" s="2">
        <v>143</v>
      </c>
      <c r="C146" s="2">
        <v>143</v>
      </c>
      <c r="D146" s="14">
        <v>18.899999999999999</v>
      </c>
      <c r="E146" s="1">
        <f t="shared" si="12"/>
        <v>0.4861111111111111</v>
      </c>
      <c r="F146">
        <f t="shared" si="13"/>
        <v>292.15427741666656</v>
      </c>
      <c r="G146">
        <f t="shared" si="14"/>
        <v>175.90809499630538</v>
      </c>
      <c r="I146">
        <f t="shared" si="15"/>
        <v>5.5555555555555556E-4</v>
      </c>
      <c r="J146">
        <f t="shared" si="16"/>
        <v>0.40576982974537024</v>
      </c>
      <c r="K146">
        <f t="shared" si="17"/>
        <v>0.42217942799113295</v>
      </c>
    </row>
    <row r="147" spans="1:11" x14ac:dyDescent="0.35">
      <c r="A147" s="2" t="s">
        <v>6</v>
      </c>
      <c r="B147" s="2">
        <v>144</v>
      </c>
      <c r="C147" s="2">
        <v>144</v>
      </c>
      <c r="D147" s="14">
        <v>19.899999999999999</v>
      </c>
      <c r="E147" s="1">
        <f t="shared" si="12"/>
        <v>0.26388888888888917</v>
      </c>
      <c r="F147">
        <f t="shared" si="13"/>
        <v>191.18886149074083</v>
      </c>
      <c r="G147">
        <f t="shared" si="14"/>
        <v>185.21540160986652</v>
      </c>
      <c r="I147">
        <f t="shared" si="15"/>
        <v>5.5555555555555556E-4</v>
      </c>
      <c r="J147">
        <f t="shared" si="16"/>
        <v>0.26554008540380669</v>
      </c>
      <c r="K147">
        <f t="shared" si="17"/>
        <v>0.44451696386367961</v>
      </c>
    </row>
    <row r="148" spans="1:11" x14ac:dyDescent="0.35">
      <c r="A148" s="2" t="s">
        <v>6</v>
      </c>
      <c r="B148" s="2">
        <v>145</v>
      </c>
      <c r="C148" s="2">
        <v>145</v>
      </c>
      <c r="D148" s="14">
        <v>20.8</v>
      </c>
      <c r="E148" s="1">
        <f t="shared" si="12"/>
        <v>0.40277777777777807</v>
      </c>
      <c r="F148">
        <f t="shared" si="13"/>
        <v>254.86953540740751</v>
      </c>
      <c r="G148">
        <f t="shared" si="14"/>
        <v>193.59197756207155</v>
      </c>
      <c r="I148">
        <f t="shared" si="15"/>
        <v>5.5555555555555556E-4</v>
      </c>
      <c r="J148">
        <f t="shared" si="16"/>
        <v>0.35398546584362156</v>
      </c>
      <c r="K148">
        <f t="shared" si="17"/>
        <v>0.4646207461489717</v>
      </c>
    </row>
    <row r="149" spans="1:11" x14ac:dyDescent="0.35">
      <c r="A149" s="2" t="s">
        <v>6</v>
      </c>
      <c r="B149" s="2">
        <v>146</v>
      </c>
      <c r="C149" s="2">
        <v>146</v>
      </c>
      <c r="D149" s="14">
        <v>22.8</v>
      </c>
      <c r="E149" s="1">
        <f t="shared" si="12"/>
        <v>0.63888888888888862</v>
      </c>
      <c r="F149">
        <f t="shared" si="13"/>
        <v>363.36306799999983</v>
      </c>
      <c r="G149">
        <f t="shared" si="14"/>
        <v>212.2065907891938</v>
      </c>
      <c r="I149">
        <f t="shared" si="15"/>
        <v>5.5555555555555556E-4</v>
      </c>
      <c r="J149">
        <f t="shared" si="16"/>
        <v>0.50467092777777756</v>
      </c>
      <c r="K149">
        <f t="shared" si="17"/>
        <v>0.50929581789406519</v>
      </c>
    </row>
    <row r="150" spans="1:11" x14ac:dyDescent="0.35">
      <c r="A150" s="2" t="s">
        <v>6</v>
      </c>
      <c r="B150" s="2">
        <v>147</v>
      </c>
      <c r="C150" s="2">
        <v>147</v>
      </c>
      <c r="D150" s="14">
        <v>25.4</v>
      </c>
      <c r="E150" s="1">
        <f t="shared" si="12"/>
        <v>0.68055555555555536</v>
      </c>
      <c r="F150">
        <f t="shared" si="13"/>
        <v>383.5514032962962</v>
      </c>
      <c r="G150">
        <f t="shared" si="14"/>
        <v>236.40558798445275</v>
      </c>
      <c r="I150">
        <f t="shared" si="15"/>
        <v>5.5555555555555556E-4</v>
      </c>
      <c r="J150">
        <f t="shared" si="16"/>
        <v>0.53271028235596696</v>
      </c>
      <c r="K150">
        <f t="shared" si="17"/>
        <v>0.56737341116268658</v>
      </c>
    </row>
    <row r="151" spans="1:11" x14ac:dyDescent="0.35">
      <c r="A151" s="2" t="s">
        <v>6</v>
      </c>
      <c r="B151" s="2">
        <v>148</v>
      </c>
      <c r="C151" s="2">
        <v>148</v>
      </c>
      <c r="D151" s="14">
        <v>27.7</v>
      </c>
      <c r="E151" s="1">
        <f t="shared" si="12"/>
        <v>0.5277777777777779</v>
      </c>
      <c r="F151">
        <f t="shared" si="13"/>
        <v>315.04282304629629</v>
      </c>
      <c r="G151">
        <f t="shared" si="14"/>
        <v>257.81239319564332</v>
      </c>
      <c r="I151">
        <f t="shared" si="15"/>
        <v>5.5555555555555556E-4</v>
      </c>
      <c r="J151">
        <f t="shared" si="16"/>
        <v>0.43755947645318927</v>
      </c>
      <c r="K151">
        <f t="shared" si="17"/>
        <v>0.61874974366954405</v>
      </c>
    </row>
    <row r="152" spans="1:11" x14ac:dyDescent="0.35">
      <c r="A152" s="2" t="s">
        <v>6</v>
      </c>
      <c r="B152" s="2">
        <v>149</v>
      </c>
      <c r="C152" s="2">
        <v>149</v>
      </c>
      <c r="D152" s="14">
        <v>29.2</v>
      </c>
      <c r="E152" s="1">
        <f t="shared" si="12"/>
        <v>0.29166666666666685</v>
      </c>
      <c r="F152">
        <f t="shared" si="13"/>
        <v>208.18547985185194</v>
      </c>
      <c r="G152">
        <f t="shared" si="14"/>
        <v>271.77335311598506</v>
      </c>
      <c r="I152">
        <f t="shared" si="15"/>
        <v>5.5555555555555556E-4</v>
      </c>
      <c r="J152">
        <f t="shared" si="16"/>
        <v>0.28914649979423879</v>
      </c>
      <c r="K152">
        <f t="shared" si="17"/>
        <v>0.65225604747836408</v>
      </c>
    </row>
    <row r="153" spans="1:11" x14ac:dyDescent="0.35">
      <c r="A153" s="2" t="s">
        <v>6</v>
      </c>
      <c r="B153" s="2">
        <v>150</v>
      </c>
      <c r="C153" s="2">
        <v>150</v>
      </c>
      <c r="D153" s="14">
        <v>29.8</v>
      </c>
      <c r="E153" s="1">
        <f t="shared" si="12"/>
        <v>2.7777777777777679E-2</v>
      </c>
      <c r="F153">
        <f t="shared" si="13"/>
        <v>88.187823740740683</v>
      </c>
      <c r="G153">
        <f t="shared" si="14"/>
        <v>277.35773708412171</v>
      </c>
      <c r="I153">
        <f t="shared" si="15"/>
        <v>5.5555555555555556E-4</v>
      </c>
      <c r="J153">
        <f t="shared" si="16"/>
        <v>0.1224830885288065</v>
      </c>
      <c r="K153">
        <f t="shared" si="17"/>
        <v>0.66565856900189213</v>
      </c>
    </row>
    <row r="154" spans="1:11" x14ac:dyDescent="0.35">
      <c r="A154" s="2" t="s">
        <v>6</v>
      </c>
      <c r="B154" s="2">
        <v>151</v>
      </c>
      <c r="C154" s="2">
        <v>151</v>
      </c>
      <c r="D154" s="14">
        <v>29.4</v>
      </c>
      <c r="E154" s="1">
        <f t="shared" si="12"/>
        <v>-0.36111111111111133</v>
      </c>
      <c r="F154">
        <f t="shared" si="13"/>
        <v>0</v>
      </c>
      <c r="G154">
        <f t="shared" si="14"/>
        <v>273.63481443869728</v>
      </c>
      <c r="I154">
        <f t="shared" si="15"/>
        <v>5.5555555555555556E-4</v>
      </c>
      <c r="J154">
        <f t="shared" si="16"/>
        <v>0</v>
      </c>
      <c r="K154">
        <f t="shared" si="17"/>
        <v>0.65672355465287346</v>
      </c>
    </row>
    <row r="155" spans="1:11" x14ac:dyDescent="0.35">
      <c r="A155" s="2" t="s">
        <v>6</v>
      </c>
      <c r="B155" s="2">
        <v>152</v>
      </c>
      <c r="C155" s="2">
        <v>152</v>
      </c>
      <c r="D155" s="14">
        <v>27.2</v>
      </c>
      <c r="E155" s="1">
        <f t="shared" si="12"/>
        <v>-0.94444444444444398</v>
      </c>
      <c r="F155">
        <f t="shared" si="13"/>
        <v>0</v>
      </c>
      <c r="G155">
        <f t="shared" si="14"/>
        <v>253.15873988886278</v>
      </c>
      <c r="I155">
        <f t="shared" si="15"/>
        <v>5.5555555555555556E-4</v>
      </c>
      <c r="J155">
        <f t="shared" si="16"/>
        <v>0</v>
      </c>
      <c r="K155">
        <f t="shared" si="17"/>
        <v>0.60758097573327075</v>
      </c>
    </row>
    <row r="156" spans="1:11" x14ac:dyDescent="0.35">
      <c r="A156" s="2" t="s">
        <v>6</v>
      </c>
      <c r="B156" s="2">
        <v>153</v>
      </c>
      <c r="C156" s="2">
        <v>153</v>
      </c>
      <c r="D156" s="14">
        <v>22.6</v>
      </c>
      <c r="E156" s="1">
        <f t="shared" si="12"/>
        <v>-1.3749999999999998</v>
      </c>
      <c r="F156">
        <f t="shared" si="13"/>
        <v>0</v>
      </c>
      <c r="G156">
        <f t="shared" si="14"/>
        <v>210.34512946648158</v>
      </c>
      <c r="I156">
        <f t="shared" si="15"/>
        <v>5.5555555555555556E-4</v>
      </c>
      <c r="J156">
        <f t="shared" si="16"/>
        <v>0</v>
      </c>
      <c r="K156">
        <f t="shared" si="17"/>
        <v>0.50482831071955581</v>
      </c>
    </row>
    <row r="157" spans="1:11" x14ac:dyDescent="0.35">
      <c r="A157" s="2" t="s">
        <v>6</v>
      </c>
      <c r="B157" s="2">
        <v>154</v>
      </c>
      <c r="C157" s="2">
        <v>154</v>
      </c>
      <c r="D157" s="14">
        <v>17.3</v>
      </c>
      <c r="E157" s="1">
        <f t="shared" si="12"/>
        <v>-1.2916666666666667</v>
      </c>
      <c r="F157">
        <f t="shared" si="13"/>
        <v>0</v>
      </c>
      <c r="G157">
        <f t="shared" si="14"/>
        <v>161.01640441460756</v>
      </c>
      <c r="I157">
        <f t="shared" si="15"/>
        <v>5.5555555555555556E-4</v>
      </c>
      <c r="J157">
        <f t="shared" si="16"/>
        <v>0</v>
      </c>
      <c r="K157">
        <f t="shared" si="17"/>
        <v>0.38643937059505817</v>
      </c>
    </row>
    <row r="158" spans="1:11" x14ac:dyDescent="0.35">
      <c r="A158" s="2" t="s">
        <v>6</v>
      </c>
      <c r="B158" s="2">
        <v>155</v>
      </c>
      <c r="C158" s="2">
        <v>155</v>
      </c>
      <c r="D158" s="14">
        <v>13.3</v>
      </c>
      <c r="E158" s="1">
        <f t="shared" si="12"/>
        <v>-0.73611111111111116</v>
      </c>
      <c r="F158">
        <f t="shared" si="13"/>
        <v>0</v>
      </c>
      <c r="G158">
        <f t="shared" si="14"/>
        <v>123.78717796036305</v>
      </c>
      <c r="I158">
        <f t="shared" si="15"/>
        <v>5.5555555555555556E-4</v>
      </c>
      <c r="J158">
        <f t="shared" si="16"/>
        <v>0</v>
      </c>
      <c r="K158">
        <f t="shared" si="17"/>
        <v>0.29708922710487135</v>
      </c>
    </row>
    <row r="159" spans="1:11" x14ac:dyDescent="0.35">
      <c r="A159" s="2" t="s">
        <v>6</v>
      </c>
      <c r="B159" s="2">
        <v>156</v>
      </c>
      <c r="C159" s="2">
        <v>156</v>
      </c>
      <c r="D159" s="14">
        <v>12</v>
      </c>
      <c r="E159" s="1">
        <f t="shared" si="12"/>
        <v>-9.7222222222222363E-2</v>
      </c>
      <c r="F159">
        <f t="shared" si="13"/>
        <v>24.132533333333267</v>
      </c>
      <c r="G159">
        <f t="shared" si="14"/>
        <v>111.68767936273358</v>
      </c>
      <c r="I159">
        <f t="shared" si="15"/>
        <v>5.5555555555555556E-4</v>
      </c>
      <c r="J159">
        <f t="shared" si="16"/>
        <v>3.3517407407407315E-2</v>
      </c>
      <c r="K159">
        <f t="shared" si="17"/>
        <v>0.2680504304705606</v>
      </c>
    </row>
    <row r="160" spans="1:11" x14ac:dyDescent="0.35">
      <c r="A160" s="2" t="s">
        <v>6</v>
      </c>
      <c r="B160" s="2">
        <v>157</v>
      </c>
      <c r="C160" s="2">
        <v>157</v>
      </c>
      <c r="D160" s="14">
        <v>12.6</v>
      </c>
      <c r="E160" s="1">
        <f t="shared" si="12"/>
        <v>0.29166666666666663</v>
      </c>
      <c r="F160">
        <f t="shared" si="13"/>
        <v>201.60582699999995</v>
      </c>
      <c r="G160">
        <f t="shared" si="14"/>
        <v>117.27206333087025</v>
      </c>
      <c r="I160">
        <f t="shared" si="15"/>
        <v>5.5555555555555556E-4</v>
      </c>
      <c r="J160">
        <f t="shared" si="16"/>
        <v>0.28000809305555546</v>
      </c>
      <c r="K160">
        <f t="shared" si="17"/>
        <v>0.2814529519940886</v>
      </c>
    </row>
    <row r="161" spans="1:11" x14ac:dyDescent="0.35">
      <c r="A161" s="2" t="s">
        <v>6</v>
      </c>
      <c r="B161" s="2">
        <v>158</v>
      </c>
      <c r="C161" s="2">
        <v>158</v>
      </c>
      <c r="D161" s="14">
        <v>14.1</v>
      </c>
      <c r="E161" s="1">
        <f t="shared" si="12"/>
        <v>0.63888888888888884</v>
      </c>
      <c r="F161">
        <f t="shared" si="13"/>
        <v>360.31893074999994</v>
      </c>
      <c r="G161">
        <f t="shared" si="14"/>
        <v>131.23302325121196</v>
      </c>
      <c r="I161">
        <f t="shared" si="15"/>
        <v>5.5555555555555556E-4</v>
      </c>
      <c r="J161">
        <f t="shared" si="16"/>
        <v>0.50044295937499994</v>
      </c>
      <c r="K161">
        <f t="shared" si="17"/>
        <v>0.31495925580290873</v>
      </c>
    </row>
    <row r="162" spans="1:11" x14ac:dyDescent="0.35">
      <c r="A162" s="2" t="s">
        <v>6</v>
      </c>
      <c r="B162" s="2">
        <v>159</v>
      </c>
      <c r="C162" s="2">
        <v>159</v>
      </c>
      <c r="D162" s="14">
        <v>17.2</v>
      </c>
      <c r="E162" s="1">
        <f t="shared" si="12"/>
        <v>0.83333333333333359</v>
      </c>
      <c r="F162">
        <f t="shared" si="13"/>
        <v>449.9056754074075</v>
      </c>
      <c r="G162">
        <f t="shared" si="14"/>
        <v>160.08567375325146</v>
      </c>
      <c r="I162">
        <f t="shared" si="15"/>
        <v>5.5555555555555556E-4</v>
      </c>
      <c r="J162">
        <f t="shared" si="16"/>
        <v>0.62486899362139936</v>
      </c>
      <c r="K162">
        <f t="shared" si="17"/>
        <v>0.38420561700780353</v>
      </c>
    </row>
    <row r="163" spans="1:11" x14ac:dyDescent="0.35">
      <c r="A163" s="2" t="s">
        <v>6</v>
      </c>
      <c r="B163" s="2">
        <v>160</v>
      </c>
      <c r="C163" s="2">
        <v>160</v>
      </c>
      <c r="D163" s="14">
        <v>20.100000000000001</v>
      </c>
      <c r="E163" s="1">
        <f t="shared" si="12"/>
        <v>0.86111111111111094</v>
      </c>
      <c r="F163">
        <f t="shared" si="13"/>
        <v>463.59805408333324</v>
      </c>
      <c r="G163">
        <f t="shared" si="14"/>
        <v>187.07686293257873</v>
      </c>
      <c r="I163">
        <f t="shared" si="15"/>
        <v>5.5555555555555556E-4</v>
      </c>
      <c r="J163">
        <f t="shared" si="16"/>
        <v>0.64388618622685168</v>
      </c>
      <c r="K163">
        <f t="shared" si="17"/>
        <v>0.448984471038189</v>
      </c>
    </row>
    <row r="164" spans="1:11" x14ac:dyDescent="0.35">
      <c r="A164" s="2" t="s">
        <v>6</v>
      </c>
      <c r="B164" s="2">
        <v>161</v>
      </c>
      <c r="C164" s="2">
        <v>161</v>
      </c>
      <c r="D164" s="14">
        <v>23.4</v>
      </c>
      <c r="E164" s="1">
        <f t="shared" si="12"/>
        <v>0.74999999999999978</v>
      </c>
      <c r="F164">
        <f t="shared" si="13"/>
        <v>414.29258699999986</v>
      </c>
      <c r="G164">
        <f t="shared" si="14"/>
        <v>217.79097475733047</v>
      </c>
      <c r="I164">
        <f t="shared" si="15"/>
        <v>5.5555555555555556E-4</v>
      </c>
      <c r="J164">
        <f t="shared" si="16"/>
        <v>0.57540637083333313</v>
      </c>
      <c r="K164">
        <f t="shared" si="17"/>
        <v>0.52269833941759314</v>
      </c>
    </row>
    <row r="165" spans="1:11" x14ac:dyDescent="0.35">
      <c r="A165" s="2" t="s">
        <v>6</v>
      </c>
      <c r="B165" s="2">
        <v>162</v>
      </c>
      <c r="C165" s="2">
        <v>162</v>
      </c>
      <c r="D165" s="14">
        <v>25.5</v>
      </c>
      <c r="E165" s="1">
        <f t="shared" si="12"/>
        <v>0.5833333333333337</v>
      </c>
      <c r="F165">
        <f t="shared" si="13"/>
        <v>339.26633541666683</v>
      </c>
      <c r="G165">
        <f t="shared" si="14"/>
        <v>237.33631864580886</v>
      </c>
      <c r="I165">
        <f t="shared" si="15"/>
        <v>5.5555555555555556E-4</v>
      </c>
      <c r="J165">
        <f t="shared" si="16"/>
        <v>0.47120324363425947</v>
      </c>
      <c r="K165">
        <f t="shared" si="17"/>
        <v>0.56960716474994133</v>
      </c>
    </row>
    <row r="166" spans="1:11" x14ac:dyDescent="0.35">
      <c r="A166" s="2" t="s">
        <v>6</v>
      </c>
      <c r="B166" s="2">
        <v>163</v>
      </c>
      <c r="C166" s="2">
        <v>163</v>
      </c>
      <c r="D166" s="14">
        <v>27.6</v>
      </c>
      <c r="E166" s="1">
        <f t="shared" si="12"/>
        <v>0.55555555555555558</v>
      </c>
      <c r="F166">
        <f t="shared" si="13"/>
        <v>327.65705200000002</v>
      </c>
      <c r="G166">
        <f t="shared" si="14"/>
        <v>256.88166253428722</v>
      </c>
      <c r="I166">
        <f t="shared" si="15"/>
        <v>5.5555555555555556E-4</v>
      </c>
      <c r="J166">
        <f t="shared" si="16"/>
        <v>0.4550792388888889</v>
      </c>
      <c r="K166">
        <f t="shared" si="17"/>
        <v>0.61651599008228941</v>
      </c>
    </row>
    <row r="167" spans="1:11" x14ac:dyDescent="0.35">
      <c r="A167" s="2" t="s">
        <v>6</v>
      </c>
      <c r="B167" s="2">
        <v>164</v>
      </c>
      <c r="C167" s="2">
        <v>164</v>
      </c>
      <c r="D167" s="14">
        <v>29.5</v>
      </c>
      <c r="E167" s="1">
        <f t="shared" si="12"/>
        <v>0.4861111111111111</v>
      </c>
      <c r="F167">
        <f t="shared" si="13"/>
        <v>297.01913171296292</v>
      </c>
      <c r="G167">
        <f t="shared" si="14"/>
        <v>274.56554510005338</v>
      </c>
      <c r="I167">
        <f t="shared" si="15"/>
        <v>5.5555555555555556E-4</v>
      </c>
      <c r="J167">
        <f t="shared" si="16"/>
        <v>0.41252657182355962</v>
      </c>
      <c r="K167">
        <f t="shared" si="17"/>
        <v>0.6589573082401281</v>
      </c>
    </row>
    <row r="168" spans="1:11" x14ac:dyDescent="0.35">
      <c r="A168" s="2" t="s">
        <v>6</v>
      </c>
      <c r="B168" s="2">
        <v>165</v>
      </c>
      <c r="C168" s="2">
        <v>165</v>
      </c>
      <c r="D168" s="14">
        <v>31.1</v>
      </c>
      <c r="E168" s="1">
        <f t="shared" si="12"/>
        <v>0.36111111111111133</v>
      </c>
      <c r="F168">
        <f t="shared" si="13"/>
        <v>240.93854593518526</v>
      </c>
      <c r="G168">
        <f t="shared" si="14"/>
        <v>289.45723568175117</v>
      </c>
      <c r="I168">
        <f t="shared" si="15"/>
        <v>5.5555555555555556E-4</v>
      </c>
      <c r="J168">
        <f t="shared" si="16"/>
        <v>0.33463686935442399</v>
      </c>
      <c r="K168">
        <f t="shared" si="17"/>
        <v>0.69469736563620288</v>
      </c>
    </row>
    <row r="169" spans="1:11" x14ac:dyDescent="0.35">
      <c r="A169" s="2" t="s">
        <v>6</v>
      </c>
      <c r="B169" s="2">
        <v>166</v>
      </c>
      <c r="C169" s="2">
        <v>166</v>
      </c>
      <c r="D169" s="14">
        <v>32.1</v>
      </c>
      <c r="E169" s="1">
        <f t="shared" si="12"/>
        <v>0.29166666666666685</v>
      </c>
      <c r="F169">
        <f t="shared" si="13"/>
        <v>209.87116741666674</v>
      </c>
      <c r="G169">
        <f t="shared" si="14"/>
        <v>298.76454229531231</v>
      </c>
      <c r="I169">
        <f t="shared" si="15"/>
        <v>5.5555555555555556E-4</v>
      </c>
      <c r="J169">
        <f t="shared" si="16"/>
        <v>0.29148773252314825</v>
      </c>
      <c r="K169">
        <f t="shared" si="17"/>
        <v>0.71703490150874949</v>
      </c>
    </row>
    <row r="170" spans="1:11" x14ac:dyDescent="0.35">
      <c r="A170" s="2" t="s">
        <v>6</v>
      </c>
      <c r="B170" s="2">
        <v>167</v>
      </c>
      <c r="C170" s="2">
        <v>167</v>
      </c>
      <c r="D170" s="14">
        <v>33.200000000000003</v>
      </c>
      <c r="E170" s="1">
        <f t="shared" si="12"/>
        <v>0.43055555555555575</v>
      </c>
      <c r="F170">
        <f t="shared" si="13"/>
        <v>273.88562207407415</v>
      </c>
      <c r="G170">
        <f t="shared" si="14"/>
        <v>309.00257957022961</v>
      </c>
      <c r="I170">
        <f t="shared" si="15"/>
        <v>5.5555555555555556E-4</v>
      </c>
      <c r="J170">
        <f t="shared" si="16"/>
        <v>0.38039669732510301</v>
      </c>
      <c r="K170">
        <f t="shared" si="17"/>
        <v>0.74160619096855107</v>
      </c>
    </row>
    <row r="171" spans="1:11" x14ac:dyDescent="0.35">
      <c r="A171" s="2" t="s">
        <v>6</v>
      </c>
      <c r="B171" s="2">
        <v>168</v>
      </c>
      <c r="C171" s="2">
        <v>168</v>
      </c>
      <c r="D171" s="14">
        <v>35.200000000000003</v>
      </c>
      <c r="E171" s="1">
        <f t="shared" si="12"/>
        <v>0.55555555555555558</v>
      </c>
      <c r="F171">
        <f t="shared" si="13"/>
        <v>332.18281540740736</v>
      </c>
      <c r="G171">
        <f t="shared" si="14"/>
        <v>327.61719279735183</v>
      </c>
      <c r="I171">
        <f t="shared" si="15"/>
        <v>5.5555555555555556E-4</v>
      </c>
      <c r="J171">
        <f t="shared" si="16"/>
        <v>0.4613650213991769</v>
      </c>
      <c r="K171">
        <f t="shared" si="17"/>
        <v>0.7862812627136444</v>
      </c>
    </row>
    <row r="172" spans="1:11" x14ac:dyDescent="0.35">
      <c r="A172" s="2" t="s">
        <v>6</v>
      </c>
      <c r="B172" s="2">
        <v>169</v>
      </c>
      <c r="C172" s="2">
        <v>169</v>
      </c>
      <c r="D172" s="14">
        <v>37.200000000000003</v>
      </c>
      <c r="E172" s="1">
        <f t="shared" si="12"/>
        <v>0.38888888888888851</v>
      </c>
      <c r="F172">
        <f t="shared" si="13"/>
        <v>257.5558679999998</v>
      </c>
      <c r="G172">
        <f t="shared" si="14"/>
        <v>346.23180602447411</v>
      </c>
      <c r="I172">
        <f t="shared" si="15"/>
        <v>5.5555555555555556E-4</v>
      </c>
      <c r="J172">
        <f t="shared" si="16"/>
        <v>0.35771648333333306</v>
      </c>
      <c r="K172">
        <f t="shared" si="17"/>
        <v>0.83095633445873784</v>
      </c>
    </row>
    <row r="173" spans="1:11" x14ac:dyDescent="0.35">
      <c r="A173" s="2" t="s">
        <v>6</v>
      </c>
      <c r="B173" s="2">
        <v>170</v>
      </c>
      <c r="C173" s="2">
        <v>170</v>
      </c>
      <c r="D173" s="14">
        <v>38</v>
      </c>
      <c r="E173" s="1">
        <f t="shared" si="12"/>
        <v>2.7777777777777186E-2</v>
      </c>
      <c r="F173">
        <f t="shared" si="13"/>
        <v>93.459662962962682</v>
      </c>
      <c r="G173">
        <f t="shared" si="14"/>
        <v>353.67765131532298</v>
      </c>
      <c r="I173">
        <f t="shared" si="15"/>
        <v>5.5555555555555556E-4</v>
      </c>
      <c r="J173">
        <f t="shared" si="16"/>
        <v>0.12980508744855929</v>
      </c>
      <c r="K173">
        <f t="shared" si="17"/>
        <v>0.84882636315677518</v>
      </c>
    </row>
    <row r="174" spans="1:11" x14ac:dyDescent="0.35">
      <c r="A174" s="2" t="s">
        <v>6</v>
      </c>
      <c r="B174" s="2">
        <v>171</v>
      </c>
      <c r="C174" s="2">
        <v>171</v>
      </c>
      <c r="D174" s="14">
        <v>37.4</v>
      </c>
      <c r="E174" s="1">
        <f t="shared" si="12"/>
        <v>-0.40277777777777757</v>
      </c>
      <c r="F174">
        <f t="shared" si="13"/>
        <v>0</v>
      </c>
      <c r="G174">
        <f t="shared" si="14"/>
        <v>348.09326734718633</v>
      </c>
      <c r="I174">
        <f t="shared" si="15"/>
        <v>5.5555555555555556E-4</v>
      </c>
      <c r="J174">
        <f t="shared" si="16"/>
        <v>0</v>
      </c>
      <c r="K174">
        <f t="shared" si="17"/>
        <v>0.83542384163324712</v>
      </c>
    </row>
    <row r="175" spans="1:11" x14ac:dyDescent="0.35">
      <c r="A175" s="2" t="s">
        <v>6</v>
      </c>
      <c r="B175" s="2">
        <v>172</v>
      </c>
      <c r="C175" s="2">
        <v>172</v>
      </c>
      <c r="D175" s="14">
        <v>35.1</v>
      </c>
      <c r="E175" s="1">
        <f t="shared" si="12"/>
        <v>-0.88888888888888862</v>
      </c>
      <c r="F175">
        <f t="shared" si="13"/>
        <v>0</v>
      </c>
      <c r="G175">
        <f t="shared" si="14"/>
        <v>326.68646213599573</v>
      </c>
      <c r="I175">
        <f t="shared" si="15"/>
        <v>5.5555555555555556E-4</v>
      </c>
      <c r="J175">
        <f t="shared" si="16"/>
        <v>0</v>
      </c>
      <c r="K175">
        <f t="shared" si="17"/>
        <v>0.78404750912638976</v>
      </c>
    </row>
    <row r="176" spans="1:11" x14ac:dyDescent="0.35">
      <c r="A176" s="2" t="s">
        <v>6</v>
      </c>
      <c r="B176" s="2">
        <v>173</v>
      </c>
      <c r="C176" s="2">
        <v>173</v>
      </c>
      <c r="D176" s="14">
        <v>31</v>
      </c>
      <c r="E176" s="1">
        <f t="shared" si="12"/>
        <v>-1.1111111111111112</v>
      </c>
      <c r="F176">
        <f t="shared" si="13"/>
        <v>0</v>
      </c>
      <c r="G176">
        <f t="shared" si="14"/>
        <v>288.52650502039506</v>
      </c>
      <c r="I176">
        <f t="shared" si="15"/>
        <v>5.5555555555555556E-4</v>
      </c>
      <c r="J176">
        <f t="shared" si="16"/>
        <v>0</v>
      </c>
      <c r="K176">
        <f t="shared" si="17"/>
        <v>0.69246361204894813</v>
      </c>
    </row>
    <row r="177" spans="1:11" x14ac:dyDescent="0.35">
      <c r="A177" s="2" t="s">
        <v>6</v>
      </c>
      <c r="B177" s="2">
        <v>174</v>
      </c>
      <c r="C177" s="2">
        <v>174</v>
      </c>
      <c r="D177" s="14">
        <v>27.1</v>
      </c>
      <c r="E177" s="1">
        <f t="shared" si="12"/>
        <v>-0.79166666666666652</v>
      </c>
      <c r="F177">
        <f t="shared" si="13"/>
        <v>0</v>
      </c>
      <c r="G177">
        <f t="shared" si="14"/>
        <v>252.22800922750667</v>
      </c>
      <c r="I177">
        <f t="shared" si="15"/>
        <v>5.5555555555555556E-4</v>
      </c>
      <c r="J177">
        <f t="shared" si="16"/>
        <v>0</v>
      </c>
      <c r="K177">
        <f t="shared" si="17"/>
        <v>0.60534722214601611</v>
      </c>
    </row>
    <row r="178" spans="1:11" x14ac:dyDescent="0.35">
      <c r="A178" s="2" t="s">
        <v>6</v>
      </c>
      <c r="B178" s="2">
        <v>175</v>
      </c>
      <c r="C178" s="2">
        <v>175</v>
      </c>
      <c r="D178" s="14">
        <v>25.3</v>
      </c>
      <c r="E178" s="1">
        <f t="shared" si="12"/>
        <v>-0.27777777777777779</v>
      </c>
      <c r="F178">
        <f t="shared" si="13"/>
        <v>0</v>
      </c>
      <c r="G178">
        <f t="shared" si="14"/>
        <v>235.47485732309664</v>
      </c>
      <c r="I178">
        <f t="shared" si="15"/>
        <v>5.5555555555555556E-4</v>
      </c>
      <c r="J178">
        <f t="shared" si="16"/>
        <v>0</v>
      </c>
      <c r="K178">
        <f t="shared" si="17"/>
        <v>0.56513965757543194</v>
      </c>
    </row>
    <row r="179" spans="1:11" x14ac:dyDescent="0.35">
      <c r="A179" s="2" t="s">
        <v>6</v>
      </c>
      <c r="B179" s="2">
        <v>176</v>
      </c>
      <c r="C179" s="2">
        <v>176</v>
      </c>
      <c r="D179" s="14">
        <v>25.1</v>
      </c>
      <c r="E179" s="1">
        <f t="shared" si="12"/>
        <v>8.3333333333333037E-2</v>
      </c>
      <c r="F179">
        <f t="shared" si="13"/>
        <v>111.0744114907406</v>
      </c>
      <c r="G179">
        <f t="shared" si="14"/>
        <v>233.6133960003844</v>
      </c>
      <c r="I179">
        <f t="shared" si="15"/>
        <v>5.5555555555555556E-4</v>
      </c>
      <c r="J179">
        <f t="shared" si="16"/>
        <v>0.15427001595936193</v>
      </c>
      <c r="K179">
        <f t="shared" si="17"/>
        <v>0.56067215040092255</v>
      </c>
    </row>
    <row r="180" spans="1:11" x14ac:dyDescent="0.35">
      <c r="A180" s="2" t="s">
        <v>6</v>
      </c>
      <c r="B180" s="2">
        <v>177</v>
      </c>
      <c r="C180" s="2">
        <v>177</v>
      </c>
      <c r="D180" s="14">
        <v>25.9</v>
      </c>
      <c r="E180" s="1">
        <f t="shared" si="12"/>
        <v>0.37499999999999989</v>
      </c>
      <c r="F180">
        <f t="shared" si="13"/>
        <v>244.46129371296288</v>
      </c>
      <c r="G180">
        <f t="shared" si="14"/>
        <v>241.05924129123332</v>
      </c>
      <c r="I180">
        <f t="shared" si="15"/>
        <v>5.5555555555555556E-4</v>
      </c>
      <c r="J180">
        <f t="shared" si="16"/>
        <v>0.33952957460133731</v>
      </c>
      <c r="K180">
        <f t="shared" si="17"/>
        <v>0.57854217909896</v>
      </c>
    </row>
    <row r="181" spans="1:11" x14ac:dyDescent="0.35">
      <c r="A181" s="2" t="s">
        <v>6</v>
      </c>
      <c r="B181" s="2">
        <v>178</v>
      </c>
      <c r="C181" s="2">
        <v>178</v>
      </c>
      <c r="D181" s="14">
        <v>27.8</v>
      </c>
      <c r="E181" s="1">
        <f t="shared" si="12"/>
        <v>0.45833333333333343</v>
      </c>
      <c r="F181">
        <f t="shared" si="13"/>
        <v>283.42878374074076</v>
      </c>
      <c r="G181">
        <f t="shared" si="14"/>
        <v>258.74312385699949</v>
      </c>
      <c r="I181">
        <f t="shared" si="15"/>
        <v>5.5555555555555556E-4</v>
      </c>
      <c r="J181">
        <f t="shared" si="16"/>
        <v>0.39365108852880659</v>
      </c>
      <c r="K181">
        <f t="shared" si="17"/>
        <v>0.6209834972567988</v>
      </c>
    </row>
    <row r="182" spans="1:11" x14ac:dyDescent="0.35">
      <c r="A182" s="2" t="s">
        <v>6</v>
      </c>
      <c r="B182" s="2">
        <v>179</v>
      </c>
      <c r="C182" s="2">
        <v>179</v>
      </c>
      <c r="D182" s="14">
        <v>29.2</v>
      </c>
      <c r="E182" s="1">
        <f t="shared" si="12"/>
        <v>0.25000000000000011</v>
      </c>
      <c r="F182">
        <f t="shared" si="13"/>
        <v>189.18547985185188</v>
      </c>
      <c r="G182">
        <f t="shared" si="14"/>
        <v>271.77335311598506</v>
      </c>
      <c r="I182">
        <f t="shared" si="15"/>
        <v>5.5555555555555556E-4</v>
      </c>
      <c r="J182">
        <f t="shared" si="16"/>
        <v>0.26275761090534983</v>
      </c>
      <c r="K182">
        <f t="shared" si="17"/>
        <v>0.65225604747836408</v>
      </c>
    </row>
    <row r="183" spans="1:11" x14ac:dyDescent="0.35">
      <c r="A183" s="2" t="s">
        <v>6</v>
      </c>
      <c r="B183" s="2">
        <v>180</v>
      </c>
      <c r="C183" s="2">
        <v>180</v>
      </c>
      <c r="D183" s="14">
        <v>29.6</v>
      </c>
      <c r="E183" s="1">
        <f t="shared" si="12"/>
        <v>4.1666666666666761E-2</v>
      </c>
      <c r="F183">
        <f t="shared" si="13"/>
        <v>94.408506074074111</v>
      </c>
      <c r="G183">
        <f t="shared" si="14"/>
        <v>275.49627576140949</v>
      </c>
      <c r="I183">
        <f t="shared" si="15"/>
        <v>5.5555555555555556E-4</v>
      </c>
      <c r="J183">
        <f t="shared" si="16"/>
        <v>0.13112292510288071</v>
      </c>
      <c r="K183">
        <f t="shared" si="17"/>
        <v>0.66119106182738274</v>
      </c>
    </row>
    <row r="184" spans="1:11" x14ac:dyDescent="0.35">
      <c r="A184" s="2" t="s">
        <v>6</v>
      </c>
      <c r="B184" s="2">
        <v>181</v>
      </c>
      <c r="C184" s="2">
        <v>181</v>
      </c>
      <c r="D184" s="14">
        <v>29.5</v>
      </c>
      <c r="E184" s="1">
        <f t="shared" si="12"/>
        <v>-5.5555555555555851E-2</v>
      </c>
      <c r="F184">
        <f t="shared" si="13"/>
        <v>50.019131712962825</v>
      </c>
      <c r="G184">
        <f t="shared" si="14"/>
        <v>274.56554510005338</v>
      </c>
      <c r="I184">
        <f t="shared" si="15"/>
        <v>5.5555555555555556E-4</v>
      </c>
      <c r="J184">
        <f t="shared" si="16"/>
        <v>6.9471016268003921E-2</v>
      </c>
      <c r="K184">
        <f t="shared" si="17"/>
        <v>0.6589573082401281</v>
      </c>
    </row>
    <row r="185" spans="1:11" x14ac:dyDescent="0.35">
      <c r="A185" s="2" t="s">
        <v>6</v>
      </c>
      <c r="B185" s="2">
        <v>182</v>
      </c>
      <c r="C185" s="2">
        <v>182</v>
      </c>
      <c r="D185" s="14">
        <v>29.2</v>
      </c>
      <c r="E185" s="1">
        <f t="shared" si="12"/>
        <v>-0.16666666666666657</v>
      </c>
      <c r="F185">
        <f t="shared" si="13"/>
        <v>0</v>
      </c>
      <c r="G185">
        <f t="shared" si="14"/>
        <v>271.77335311598506</v>
      </c>
      <c r="I185">
        <f t="shared" si="15"/>
        <v>5.5555555555555556E-4</v>
      </c>
      <c r="J185">
        <f t="shared" si="16"/>
        <v>0</v>
      </c>
      <c r="K185">
        <f t="shared" si="17"/>
        <v>0.65225604747836408</v>
      </c>
    </row>
    <row r="186" spans="1:11" x14ac:dyDescent="0.35">
      <c r="A186" s="2" t="s">
        <v>6</v>
      </c>
      <c r="B186" s="2">
        <v>183</v>
      </c>
      <c r="C186" s="2">
        <v>183</v>
      </c>
      <c r="D186" s="14">
        <v>28.3</v>
      </c>
      <c r="E186" s="1">
        <f t="shared" si="12"/>
        <v>-0.43055555555555525</v>
      </c>
      <c r="F186">
        <f t="shared" si="13"/>
        <v>0</v>
      </c>
      <c r="G186">
        <f t="shared" si="14"/>
        <v>263.39677716378003</v>
      </c>
      <c r="I186">
        <f t="shared" si="15"/>
        <v>5.5555555555555556E-4</v>
      </c>
      <c r="J186">
        <f t="shared" si="16"/>
        <v>0</v>
      </c>
      <c r="K186">
        <f t="shared" si="17"/>
        <v>0.6321522651930721</v>
      </c>
    </row>
    <row r="187" spans="1:11" x14ac:dyDescent="0.35">
      <c r="A187" s="2" t="s">
        <v>6</v>
      </c>
      <c r="B187" s="2">
        <v>184</v>
      </c>
      <c r="C187" s="2">
        <v>184</v>
      </c>
      <c r="D187" s="14">
        <v>26.1</v>
      </c>
      <c r="E187" s="1">
        <f t="shared" si="12"/>
        <v>-0.65277777777777768</v>
      </c>
      <c r="F187">
        <f t="shared" si="13"/>
        <v>0</v>
      </c>
      <c r="G187">
        <f t="shared" si="14"/>
        <v>242.92070261394554</v>
      </c>
      <c r="I187">
        <f t="shared" si="15"/>
        <v>5.5555555555555556E-4</v>
      </c>
      <c r="J187">
        <f t="shared" si="16"/>
        <v>0</v>
      </c>
      <c r="K187">
        <f t="shared" si="17"/>
        <v>0.58300968627346927</v>
      </c>
    </row>
    <row r="188" spans="1:11" x14ac:dyDescent="0.35">
      <c r="A188" s="2" t="s">
        <v>6</v>
      </c>
      <c r="B188" s="2">
        <v>185</v>
      </c>
      <c r="C188" s="2">
        <v>185</v>
      </c>
      <c r="D188" s="14">
        <v>23.6</v>
      </c>
      <c r="E188" s="1">
        <f t="shared" si="12"/>
        <v>-0.70833333333333348</v>
      </c>
      <c r="F188">
        <f t="shared" si="13"/>
        <v>0</v>
      </c>
      <c r="G188">
        <f t="shared" si="14"/>
        <v>219.65243608004272</v>
      </c>
      <c r="I188">
        <f t="shared" si="15"/>
        <v>5.5555555555555556E-4</v>
      </c>
      <c r="J188">
        <f t="shared" si="16"/>
        <v>0</v>
      </c>
      <c r="K188">
        <f t="shared" si="17"/>
        <v>0.52716584659210253</v>
      </c>
    </row>
    <row r="189" spans="1:11" x14ac:dyDescent="0.35">
      <c r="A189" s="2" t="s">
        <v>6</v>
      </c>
      <c r="B189" s="2">
        <v>186</v>
      </c>
      <c r="C189" s="2">
        <v>186</v>
      </c>
      <c r="D189" s="14">
        <v>21</v>
      </c>
      <c r="E189" s="1">
        <f t="shared" si="12"/>
        <v>-0.65277777777777812</v>
      </c>
      <c r="F189">
        <f t="shared" si="13"/>
        <v>0</v>
      </c>
      <c r="G189">
        <f t="shared" si="14"/>
        <v>195.45343888478376</v>
      </c>
      <c r="I189">
        <f t="shared" si="15"/>
        <v>5.5555555555555556E-4</v>
      </c>
      <c r="J189">
        <f t="shared" si="16"/>
        <v>0</v>
      </c>
      <c r="K189">
        <f t="shared" si="17"/>
        <v>0.46908825332348103</v>
      </c>
    </row>
    <row r="190" spans="1:11" x14ac:dyDescent="0.35">
      <c r="A190" s="2" t="s">
        <v>6</v>
      </c>
      <c r="B190" s="2">
        <v>187</v>
      </c>
      <c r="C190" s="2">
        <v>187</v>
      </c>
      <c r="D190" s="14">
        <v>18.899999999999999</v>
      </c>
      <c r="E190" s="1">
        <f t="shared" si="12"/>
        <v>-0.54166666666666641</v>
      </c>
      <c r="F190">
        <f t="shared" si="13"/>
        <v>0</v>
      </c>
      <c r="G190">
        <f t="shared" si="14"/>
        <v>175.90809499630538</v>
      </c>
      <c r="I190">
        <f t="shared" si="15"/>
        <v>5.5555555555555556E-4</v>
      </c>
      <c r="J190">
        <f t="shared" si="16"/>
        <v>0</v>
      </c>
      <c r="K190">
        <f t="shared" si="17"/>
        <v>0.42217942799113295</v>
      </c>
    </row>
    <row r="191" spans="1:11" x14ac:dyDescent="0.35">
      <c r="A191" s="2" t="s">
        <v>6</v>
      </c>
      <c r="B191" s="2">
        <v>188</v>
      </c>
      <c r="C191" s="2">
        <v>188</v>
      </c>
      <c r="D191" s="14">
        <v>17.100000000000001</v>
      </c>
      <c r="E191" s="1">
        <f t="shared" si="12"/>
        <v>-0.44444444444444431</v>
      </c>
      <c r="F191">
        <f t="shared" si="13"/>
        <v>0</v>
      </c>
      <c r="G191">
        <f t="shared" si="14"/>
        <v>159.15494309189535</v>
      </c>
      <c r="I191">
        <f t="shared" si="15"/>
        <v>5.5555555555555556E-4</v>
      </c>
      <c r="J191">
        <f t="shared" si="16"/>
        <v>0</v>
      </c>
      <c r="K191">
        <f t="shared" si="17"/>
        <v>0.38197186342054884</v>
      </c>
    </row>
    <row r="192" spans="1:11" x14ac:dyDescent="0.35">
      <c r="A192" s="2" t="s">
        <v>6</v>
      </c>
      <c r="B192" s="2">
        <v>189</v>
      </c>
      <c r="C192" s="2">
        <v>189</v>
      </c>
      <c r="D192" s="14">
        <v>15.7</v>
      </c>
      <c r="E192" s="1">
        <f t="shared" si="12"/>
        <v>-0.36111111111111133</v>
      </c>
      <c r="F192">
        <f t="shared" si="13"/>
        <v>0</v>
      </c>
      <c r="G192">
        <f t="shared" si="14"/>
        <v>146.12471383290978</v>
      </c>
      <c r="I192">
        <f t="shared" si="15"/>
        <v>5.5555555555555556E-4</v>
      </c>
      <c r="J192">
        <f t="shared" si="16"/>
        <v>0</v>
      </c>
      <c r="K192">
        <f t="shared" si="17"/>
        <v>0.35069931319898351</v>
      </c>
    </row>
    <row r="193" spans="1:11" x14ac:dyDescent="0.35">
      <c r="A193" s="2" t="s">
        <v>6</v>
      </c>
      <c r="B193" s="2">
        <v>190</v>
      </c>
      <c r="C193" s="2">
        <v>190</v>
      </c>
      <c r="D193" s="14">
        <v>14.5</v>
      </c>
      <c r="E193" s="1">
        <f t="shared" si="12"/>
        <v>-0.27777777777777779</v>
      </c>
      <c r="F193">
        <f t="shared" si="13"/>
        <v>0</v>
      </c>
      <c r="G193">
        <f t="shared" si="14"/>
        <v>134.95594589663642</v>
      </c>
      <c r="I193">
        <f t="shared" si="15"/>
        <v>5.5555555555555556E-4</v>
      </c>
      <c r="J193">
        <f t="shared" si="16"/>
        <v>0</v>
      </c>
      <c r="K193">
        <f t="shared" si="17"/>
        <v>0.3238942701519274</v>
      </c>
    </row>
    <row r="194" spans="1:11" x14ac:dyDescent="0.35">
      <c r="A194" s="2" t="s">
        <v>6</v>
      </c>
      <c r="B194" s="2">
        <v>191</v>
      </c>
      <c r="C194" s="2">
        <v>191</v>
      </c>
      <c r="D194" s="14">
        <v>13.7</v>
      </c>
      <c r="E194" s="1">
        <f t="shared" si="12"/>
        <v>-0.22222222222222215</v>
      </c>
      <c r="F194">
        <f t="shared" si="13"/>
        <v>0</v>
      </c>
      <c r="G194">
        <f t="shared" si="14"/>
        <v>127.5101006057875</v>
      </c>
      <c r="I194">
        <f t="shared" si="15"/>
        <v>5.5555555555555556E-4</v>
      </c>
      <c r="J194">
        <f t="shared" si="16"/>
        <v>0</v>
      </c>
      <c r="K194">
        <f t="shared" si="17"/>
        <v>0.30602424145389001</v>
      </c>
    </row>
    <row r="195" spans="1:11" x14ac:dyDescent="0.35">
      <c r="A195" s="2" t="s">
        <v>6</v>
      </c>
      <c r="B195" s="2">
        <v>192</v>
      </c>
      <c r="C195" s="2">
        <v>192</v>
      </c>
      <c r="D195" s="14">
        <v>12.9</v>
      </c>
      <c r="E195" s="1">
        <f t="shared" si="12"/>
        <v>-0.16666666666666657</v>
      </c>
      <c r="F195">
        <f t="shared" si="13"/>
        <v>0</v>
      </c>
      <c r="G195">
        <f t="shared" si="14"/>
        <v>120.06425531493859</v>
      </c>
      <c r="I195">
        <f t="shared" si="15"/>
        <v>5.5555555555555556E-4</v>
      </c>
      <c r="J195">
        <f t="shared" si="16"/>
        <v>0</v>
      </c>
      <c r="K195">
        <f t="shared" si="17"/>
        <v>0.28815421275585262</v>
      </c>
    </row>
    <row r="196" spans="1:11" x14ac:dyDescent="0.35">
      <c r="A196" s="2" t="s">
        <v>6</v>
      </c>
      <c r="B196" s="2">
        <v>193</v>
      </c>
      <c r="C196" s="2">
        <v>193</v>
      </c>
      <c r="D196" s="14">
        <v>12.5</v>
      </c>
      <c r="E196" s="1">
        <f t="shared" si="12"/>
        <v>-9.7222222222222363E-2</v>
      </c>
      <c r="F196">
        <f t="shared" si="13"/>
        <v>24.248692824074009</v>
      </c>
      <c r="G196">
        <f t="shared" si="14"/>
        <v>116.34133266951414</v>
      </c>
      <c r="I196">
        <f t="shared" si="15"/>
        <v>5.5555555555555556E-4</v>
      </c>
      <c r="J196">
        <f t="shared" si="16"/>
        <v>3.3678740033436121E-2</v>
      </c>
      <c r="K196">
        <f t="shared" si="17"/>
        <v>0.27921919840683396</v>
      </c>
    </row>
    <row r="197" spans="1:11" x14ac:dyDescent="0.35">
      <c r="A197" s="2" t="s">
        <v>6</v>
      </c>
      <c r="B197" s="2">
        <v>194</v>
      </c>
      <c r="C197" s="2">
        <v>194</v>
      </c>
      <c r="D197" s="14">
        <v>12.2</v>
      </c>
      <c r="E197" s="1">
        <f t="shared" ref="E197:E260" si="18">($D198-$D196)/2/3.6</f>
        <v>-6.9444444444444448E-2</v>
      </c>
      <c r="F197">
        <f t="shared" ref="F197:F260" si="19">IF(D197=0,0,MAX(0,0.285*(1600*E197 + 1600*9.81*0.015 + 0.5*1.225*0.32*2.2*(D197/3.6)^2)))</f>
        <v>36.845094851851847</v>
      </c>
      <c r="G197">
        <f t="shared" ref="G197:G260" si="20">60*D197/(2*PI()*3.6*0.285)</f>
        <v>113.54914068544581</v>
      </c>
      <c r="I197">
        <f t="shared" ref="I197:I260" si="21">1/1800</f>
        <v>5.5555555555555556E-4</v>
      </c>
      <c r="J197">
        <f t="shared" ref="J197:J260" si="22">F197/(M$3*3.6)</f>
        <v>5.1173742849794229E-2</v>
      </c>
      <c r="K197">
        <f t="shared" ref="K197:K260" si="23">G197*3.6/N$3</f>
        <v>0.27251793764506993</v>
      </c>
    </row>
    <row r="198" spans="1:11" x14ac:dyDescent="0.35">
      <c r="A198" s="2" t="s">
        <v>6</v>
      </c>
      <c r="B198" s="2">
        <v>195</v>
      </c>
      <c r="C198" s="2">
        <v>195</v>
      </c>
      <c r="D198" s="14">
        <v>12</v>
      </c>
      <c r="E198" s="1">
        <f t="shared" si="18"/>
        <v>-2.7777777777777679E-2</v>
      </c>
      <c r="F198">
        <f t="shared" si="19"/>
        <v>55.799200000000042</v>
      </c>
      <c r="G198">
        <f t="shared" si="20"/>
        <v>111.68767936273358</v>
      </c>
      <c r="I198">
        <f t="shared" si="21"/>
        <v>5.5555555555555556E-4</v>
      </c>
      <c r="J198">
        <f t="shared" si="22"/>
        <v>7.749888888888895E-2</v>
      </c>
      <c r="K198">
        <f t="shared" si="23"/>
        <v>0.2680504304705606</v>
      </c>
    </row>
    <row r="199" spans="1:11" x14ac:dyDescent="0.35">
      <c r="A199" s="2" t="s">
        <v>6</v>
      </c>
      <c r="B199" s="2">
        <v>196</v>
      </c>
      <c r="C199" s="2">
        <v>196</v>
      </c>
      <c r="D199" s="14">
        <v>12</v>
      </c>
      <c r="E199" s="1">
        <f t="shared" si="18"/>
        <v>0</v>
      </c>
      <c r="F199">
        <f t="shared" si="19"/>
        <v>68.465866666666656</v>
      </c>
      <c r="G199">
        <f t="shared" si="20"/>
        <v>111.68767936273358</v>
      </c>
      <c r="I199">
        <f t="shared" si="21"/>
        <v>5.5555555555555556E-4</v>
      </c>
      <c r="J199">
        <f t="shared" si="22"/>
        <v>9.5091481481481471E-2</v>
      </c>
      <c r="K199">
        <f t="shared" si="23"/>
        <v>0.2680504304705606</v>
      </c>
    </row>
    <row r="200" spans="1:11" x14ac:dyDescent="0.35">
      <c r="A200" s="2" t="s">
        <v>6</v>
      </c>
      <c r="B200" s="2">
        <v>197</v>
      </c>
      <c r="C200" s="2">
        <v>197</v>
      </c>
      <c r="D200" s="14">
        <v>12</v>
      </c>
      <c r="E200" s="1">
        <f t="shared" si="18"/>
        <v>0</v>
      </c>
      <c r="F200">
        <f t="shared" si="19"/>
        <v>68.465866666666656</v>
      </c>
      <c r="G200">
        <f t="shared" si="20"/>
        <v>111.68767936273358</v>
      </c>
      <c r="I200">
        <f t="shared" si="21"/>
        <v>5.5555555555555556E-4</v>
      </c>
      <c r="J200">
        <f t="shared" si="22"/>
        <v>9.5091481481481471E-2</v>
      </c>
      <c r="K200">
        <f t="shared" si="23"/>
        <v>0.2680504304705606</v>
      </c>
    </row>
    <row r="201" spans="1:11" x14ac:dyDescent="0.35">
      <c r="A201" s="2" t="s">
        <v>6</v>
      </c>
      <c r="B201" s="2">
        <v>198</v>
      </c>
      <c r="C201" s="2">
        <v>198</v>
      </c>
      <c r="D201" s="14">
        <v>12</v>
      </c>
      <c r="E201" s="1">
        <f t="shared" si="18"/>
        <v>6.9444444444444448E-2</v>
      </c>
      <c r="F201">
        <f t="shared" si="19"/>
        <v>100.13253333333333</v>
      </c>
      <c r="G201">
        <f t="shared" si="20"/>
        <v>111.68767936273358</v>
      </c>
      <c r="I201">
        <f t="shared" si="21"/>
        <v>5.5555555555555556E-4</v>
      </c>
      <c r="J201">
        <f t="shared" si="22"/>
        <v>0.13907296296296295</v>
      </c>
      <c r="K201">
        <f t="shared" si="23"/>
        <v>0.2680504304705606</v>
      </c>
    </row>
    <row r="202" spans="1:11" x14ac:dyDescent="0.35">
      <c r="A202" s="2" t="s">
        <v>6</v>
      </c>
      <c r="B202" s="2">
        <v>199</v>
      </c>
      <c r="C202" s="2">
        <v>199</v>
      </c>
      <c r="D202" s="14">
        <v>12.5</v>
      </c>
      <c r="E202" s="1">
        <f t="shared" si="18"/>
        <v>0.1388888888888889</v>
      </c>
      <c r="F202">
        <f t="shared" si="19"/>
        <v>131.91535949074074</v>
      </c>
      <c r="G202">
        <f t="shared" si="20"/>
        <v>116.34133266951414</v>
      </c>
      <c r="I202">
        <f t="shared" si="21"/>
        <v>5.5555555555555556E-4</v>
      </c>
      <c r="J202">
        <f t="shared" si="22"/>
        <v>0.18321577707047326</v>
      </c>
      <c r="K202">
        <f t="shared" si="23"/>
        <v>0.27921919840683396</v>
      </c>
    </row>
    <row r="203" spans="1:11" x14ac:dyDescent="0.35">
      <c r="A203" s="2" t="s">
        <v>6</v>
      </c>
      <c r="B203" s="2">
        <v>200</v>
      </c>
      <c r="C203" s="2">
        <v>200</v>
      </c>
      <c r="D203" s="14">
        <v>13</v>
      </c>
      <c r="E203" s="1">
        <f t="shared" si="18"/>
        <v>0.20833333333333331</v>
      </c>
      <c r="F203">
        <f t="shared" si="19"/>
        <v>163.70292685185183</v>
      </c>
      <c r="G203">
        <f t="shared" si="20"/>
        <v>120.99498597629471</v>
      </c>
      <c r="I203">
        <f t="shared" si="21"/>
        <v>5.5555555555555556E-4</v>
      </c>
      <c r="J203">
        <f t="shared" si="22"/>
        <v>0.22736517618312754</v>
      </c>
      <c r="K203">
        <f t="shared" si="23"/>
        <v>0.29038796634310732</v>
      </c>
    </row>
    <row r="204" spans="1:11" x14ac:dyDescent="0.35">
      <c r="A204" s="2" t="s">
        <v>6</v>
      </c>
      <c r="B204" s="2">
        <v>201</v>
      </c>
      <c r="C204" s="2">
        <v>201</v>
      </c>
      <c r="D204" s="14">
        <v>14</v>
      </c>
      <c r="E204" s="1">
        <f t="shared" si="18"/>
        <v>0.27777777777777779</v>
      </c>
      <c r="F204">
        <f t="shared" si="19"/>
        <v>195.62561851851851</v>
      </c>
      <c r="G204">
        <f t="shared" si="20"/>
        <v>130.30229258985585</v>
      </c>
      <c r="I204">
        <f t="shared" si="21"/>
        <v>5.5555555555555556E-4</v>
      </c>
      <c r="J204">
        <f t="shared" si="22"/>
        <v>0.27170224794238684</v>
      </c>
      <c r="K204">
        <f t="shared" si="23"/>
        <v>0.31272550221565404</v>
      </c>
    </row>
    <row r="205" spans="1:11" x14ac:dyDescent="0.35">
      <c r="A205" s="2" t="s">
        <v>6</v>
      </c>
      <c r="B205" s="2">
        <v>202</v>
      </c>
      <c r="C205" s="2">
        <v>202</v>
      </c>
      <c r="D205" s="14">
        <v>15</v>
      </c>
      <c r="E205" s="1">
        <f t="shared" si="18"/>
        <v>0.34722222222222221</v>
      </c>
      <c r="F205">
        <f t="shared" si="19"/>
        <v>227.56727499999997</v>
      </c>
      <c r="G205">
        <f t="shared" si="20"/>
        <v>139.60959920341696</v>
      </c>
      <c r="I205">
        <f t="shared" si="21"/>
        <v>5.5555555555555556E-4</v>
      </c>
      <c r="J205">
        <f t="shared" si="22"/>
        <v>0.31606565972222217</v>
      </c>
      <c r="K205">
        <f t="shared" si="23"/>
        <v>0.3350630380882007</v>
      </c>
    </row>
    <row r="206" spans="1:11" x14ac:dyDescent="0.35">
      <c r="A206" s="2" t="s">
        <v>6</v>
      </c>
      <c r="B206" s="2">
        <v>203</v>
      </c>
      <c r="C206" s="2">
        <v>203</v>
      </c>
      <c r="D206" s="14">
        <v>16.5</v>
      </c>
      <c r="E206" s="1">
        <f t="shared" si="18"/>
        <v>0.55555555555555558</v>
      </c>
      <c r="F206">
        <f t="shared" si="19"/>
        <v>323.01531875000001</v>
      </c>
      <c r="G206">
        <f t="shared" si="20"/>
        <v>153.57055912375867</v>
      </c>
      <c r="I206">
        <f t="shared" si="21"/>
        <v>5.5555555555555556E-4</v>
      </c>
      <c r="J206">
        <f t="shared" si="22"/>
        <v>0.44863238715277781</v>
      </c>
      <c r="K206">
        <f t="shared" si="23"/>
        <v>0.36856934189702079</v>
      </c>
    </row>
    <row r="207" spans="1:11" x14ac:dyDescent="0.35">
      <c r="A207" s="2" t="s">
        <v>6</v>
      </c>
      <c r="B207" s="2">
        <v>204</v>
      </c>
      <c r="C207" s="2">
        <v>204</v>
      </c>
      <c r="D207" s="14">
        <v>19</v>
      </c>
      <c r="E207" s="1">
        <f t="shared" si="18"/>
        <v>0.65277777777777768</v>
      </c>
      <c r="F207">
        <f t="shared" si="19"/>
        <v>368.19021574074071</v>
      </c>
      <c r="G207">
        <f t="shared" si="20"/>
        <v>176.83882565766149</v>
      </c>
      <c r="I207">
        <f t="shared" si="21"/>
        <v>5.5555555555555556E-4</v>
      </c>
      <c r="J207">
        <f t="shared" si="22"/>
        <v>0.51137529963991768</v>
      </c>
      <c r="K207">
        <f t="shared" si="23"/>
        <v>0.42441318157838759</v>
      </c>
    </row>
    <row r="208" spans="1:11" x14ac:dyDescent="0.35">
      <c r="A208" s="2" t="s">
        <v>6</v>
      </c>
      <c r="B208" s="2">
        <v>205</v>
      </c>
      <c r="C208" s="2">
        <v>205</v>
      </c>
      <c r="D208" s="14">
        <v>21.2</v>
      </c>
      <c r="E208" s="1">
        <f t="shared" si="18"/>
        <v>0.66666666666666674</v>
      </c>
      <c r="F208">
        <f t="shared" si="19"/>
        <v>375.36217318518516</v>
      </c>
      <c r="G208">
        <f t="shared" si="20"/>
        <v>197.31490020749598</v>
      </c>
      <c r="I208">
        <f t="shared" si="21"/>
        <v>5.5555555555555556E-4</v>
      </c>
      <c r="J208">
        <f t="shared" si="22"/>
        <v>0.52133635164609049</v>
      </c>
      <c r="K208">
        <f t="shared" si="23"/>
        <v>0.47355576049799036</v>
      </c>
    </row>
    <row r="209" spans="1:11" x14ac:dyDescent="0.35">
      <c r="A209" s="2" t="s">
        <v>6</v>
      </c>
      <c r="B209" s="2">
        <v>206</v>
      </c>
      <c r="C209" s="2">
        <v>206</v>
      </c>
      <c r="D209" s="14">
        <v>23.8</v>
      </c>
      <c r="E209" s="1">
        <f t="shared" si="18"/>
        <v>0.79166666666666652</v>
      </c>
      <c r="F209">
        <f t="shared" si="19"/>
        <v>433.47161485185177</v>
      </c>
      <c r="G209">
        <f t="shared" si="20"/>
        <v>221.51389740275494</v>
      </c>
      <c r="I209">
        <f t="shared" si="21"/>
        <v>5.5555555555555556E-4</v>
      </c>
      <c r="J209">
        <f t="shared" si="22"/>
        <v>0.60204390951646081</v>
      </c>
      <c r="K209">
        <f t="shared" si="23"/>
        <v>0.53163335376661192</v>
      </c>
    </row>
    <row r="210" spans="1:11" x14ac:dyDescent="0.35">
      <c r="A210" s="2" t="s">
        <v>6</v>
      </c>
      <c r="B210" s="2">
        <v>207</v>
      </c>
      <c r="C210" s="2">
        <v>207</v>
      </c>
      <c r="D210" s="14">
        <v>26.9</v>
      </c>
      <c r="E210" s="1">
        <f t="shared" si="18"/>
        <v>0.80555555555555558</v>
      </c>
      <c r="F210">
        <f t="shared" si="19"/>
        <v>441.29529815740739</v>
      </c>
      <c r="G210">
        <f t="shared" si="20"/>
        <v>250.36654790479443</v>
      </c>
      <c r="I210">
        <f t="shared" si="21"/>
        <v>5.5555555555555556E-4</v>
      </c>
      <c r="J210">
        <f t="shared" si="22"/>
        <v>0.61291013632973246</v>
      </c>
      <c r="K210">
        <f t="shared" si="23"/>
        <v>0.60087971497150661</v>
      </c>
    </row>
    <row r="211" spans="1:11" x14ac:dyDescent="0.35">
      <c r="A211" s="2" t="s">
        <v>6</v>
      </c>
      <c r="B211" s="2">
        <v>208</v>
      </c>
      <c r="C211" s="2">
        <v>208</v>
      </c>
      <c r="D211" s="14">
        <v>29.6</v>
      </c>
      <c r="E211" s="1">
        <f t="shared" si="18"/>
        <v>0.70833333333333348</v>
      </c>
      <c r="F211">
        <f t="shared" si="19"/>
        <v>398.40850607407413</v>
      </c>
      <c r="G211">
        <f t="shared" si="20"/>
        <v>275.49627576140949</v>
      </c>
      <c r="I211">
        <f t="shared" si="21"/>
        <v>5.5555555555555556E-4</v>
      </c>
      <c r="J211">
        <f t="shared" si="22"/>
        <v>0.55334514732510298</v>
      </c>
      <c r="K211">
        <f t="shared" si="23"/>
        <v>0.66119106182738274</v>
      </c>
    </row>
    <row r="212" spans="1:11" x14ac:dyDescent="0.35">
      <c r="A212" s="2" t="s">
        <v>6</v>
      </c>
      <c r="B212" s="2">
        <v>209</v>
      </c>
      <c r="C212" s="2">
        <v>209</v>
      </c>
      <c r="D212" s="14">
        <v>32</v>
      </c>
      <c r="E212" s="1">
        <f t="shared" si="18"/>
        <v>0.7777777777777779</v>
      </c>
      <c r="F212">
        <f t="shared" si="19"/>
        <v>431.47705185185185</v>
      </c>
      <c r="G212">
        <f t="shared" si="20"/>
        <v>297.8338116339562</v>
      </c>
      <c r="I212">
        <f t="shared" si="21"/>
        <v>5.5555555555555556E-4</v>
      </c>
      <c r="J212">
        <f t="shared" si="22"/>
        <v>0.59927368312757201</v>
      </c>
      <c r="K212">
        <f t="shared" si="23"/>
        <v>0.71480114792149485</v>
      </c>
    </row>
    <row r="213" spans="1:11" x14ac:dyDescent="0.35">
      <c r="A213" s="2" t="s">
        <v>6</v>
      </c>
      <c r="B213" s="2">
        <v>210</v>
      </c>
      <c r="C213" s="2">
        <v>210</v>
      </c>
      <c r="D213" s="14">
        <v>35.200000000000003</v>
      </c>
      <c r="E213" s="1">
        <f t="shared" si="18"/>
        <v>0.76388888888888884</v>
      </c>
      <c r="F213">
        <f t="shared" si="19"/>
        <v>427.18281540740736</v>
      </c>
      <c r="G213">
        <f t="shared" si="20"/>
        <v>327.61719279735183</v>
      </c>
      <c r="I213">
        <f t="shared" si="21"/>
        <v>5.5555555555555556E-4</v>
      </c>
      <c r="J213">
        <f t="shared" si="22"/>
        <v>0.59330946584362132</v>
      </c>
      <c r="K213">
        <f t="shared" si="23"/>
        <v>0.7862812627136444</v>
      </c>
    </row>
    <row r="214" spans="1:11" x14ac:dyDescent="0.35">
      <c r="A214" s="2" t="s">
        <v>6</v>
      </c>
      <c r="B214" s="2">
        <v>211</v>
      </c>
      <c r="C214" s="2">
        <v>211</v>
      </c>
      <c r="D214" s="14">
        <v>37.5</v>
      </c>
      <c r="E214" s="1">
        <f t="shared" si="18"/>
        <v>0.55555555555555558</v>
      </c>
      <c r="F214">
        <f t="shared" si="19"/>
        <v>333.76836874999998</v>
      </c>
      <c r="G214">
        <f t="shared" si="20"/>
        <v>349.02399800854243</v>
      </c>
      <c r="I214">
        <f t="shared" si="21"/>
        <v>5.5555555555555556E-4</v>
      </c>
      <c r="J214">
        <f t="shared" si="22"/>
        <v>0.46356717881944443</v>
      </c>
      <c r="K214">
        <f t="shared" si="23"/>
        <v>0.83765759522050176</v>
      </c>
    </row>
    <row r="215" spans="1:11" x14ac:dyDescent="0.35">
      <c r="A215" s="2" t="s">
        <v>6</v>
      </c>
      <c r="B215" s="2">
        <v>212</v>
      </c>
      <c r="C215" s="2">
        <v>212</v>
      </c>
      <c r="D215" s="14">
        <v>39.200000000000003</v>
      </c>
      <c r="E215" s="1">
        <f t="shared" si="18"/>
        <v>0.41666666666666663</v>
      </c>
      <c r="F215">
        <f t="shared" si="19"/>
        <v>271.67144651851851</v>
      </c>
      <c r="G215">
        <f t="shared" si="20"/>
        <v>364.84641925159639</v>
      </c>
      <c r="I215">
        <f t="shared" si="21"/>
        <v>5.5555555555555556E-4</v>
      </c>
      <c r="J215">
        <f t="shared" si="22"/>
        <v>0.37732145349794238</v>
      </c>
      <c r="K215">
        <f t="shared" si="23"/>
        <v>0.8756314062038314</v>
      </c>
    </row>
    <row r="216" spans="1:11" x14ac:dyDescent="0.35">
      <c r="A216" s="2" t="s">
        <v>6</v>
      </c>
      <c r="B216" s="2">
        <v>213</v>
      </c>
      <c r="C216" s="2">
        <v>213</v>
      </c>
      <c r="D216" s="14">
        <v>40.5</v>
      </c>
      <c r="E216" s="1">
        <f t="shared" si="18"/>
        <v>0.33333333333333315</v>
      </c>
      <c r="F216">
        <f t="shared" si="19"/>
        <v>234.65391874999992</v>
      </c>
      <c r="G216">
        <f t="shared" si="20"/>
        <v>376.94591784922585</v>
      </c>
      <c r="I216">
        <f t="shared" si="21"/>
        <v>5.5555555555555556E-4</v>
      </c>
      <c r="J216">
        <f t="shared" si="22"/>
        <v>0.32590822048611101</v>
      </c>
      <c r="K216">
        <f t="shared" si="23"/>
        <v>0.90467020283814203</v>
      </c>
    </row>
    <row r="217" spans="1:11" x14ac:dyDescent="0.35">
      <c r="A217" s="2" t="s">
        <v>6</v>
      </c>
      <c r="B217" s="2">
        <v>214</v>
      </c>
      <c r="C217" s="2">
        <v>214</v>
      </c>
      <c r="D217" s="14">
        <v>41.6</v>
      </c>
      <c r="E217" s="1">
        <f t="shared" si="18"/>
        <v>0.36111111111111133</v>
      </c>
      <c r="F217">
        <f t="shared" si="19"/>
        <v>248.17694162962971</v>
      </c>
      <c r="G217">
        <f t="shared" si="20"/>
        <v>387.1839551241431</v>
      </c>
      <c r="I217">
        <f t="shared" si="21"/>
        <v>5.5555555555555556E-4</v>
      </c>
      <c r="J217">
        <f t="shared" si="22"/>
        <v>0.34469019670781903</v>
      </c>
      <c r="K217">
        <f t="shared" si="23"/>
        <v>0.92924149229794339</v>
      </c>
    </row>
    <row r="218" spans="1:11" x14ac:dyDescent="0.35">
      <c r="A218" s="2" t="s">
        <v>6</v>
      </c>
      <c r="B218" s="2">
        <v>215</v>
      </c>
      <c r="C218" s="2">
        <v>215</v>
      </c>
      <c r="D218" s="14">
        <v>43.1</v>
      </c>
      <c r="E218" s="1">
        <f t="shared" si="18"/>
        <v>0.47222222222222199</v>
      </c>
      <c r="F218">
        <f t="shared" si="19"/>
        <v>300.0483481574073</v>
      </c>
      <c r="G218">
        <f t="shared" si="20"/>
        <v>401.14491504448478</v>
      </c>
      <c r="I218">
        <f t="shared" si="21"/>
        <v>5.5555555555555556E-4</v>
      </c>
      <c r="J218">
        <f t="shared" si="22"/>
        <v>0.41673381688528793</v>
      </c>
      <c r="K218">
        <f t="shared" si="23"/>
        <v>0.96274779610676342</v>
      </c>
    </row>
    <row r="219" spans="1:11" x14ac:dyDescent="0.35">
      <c r="A219" s="2" t="s">
        <v>6</v>
      </c>
      <c r="B219" s="2">
        <v>216</v>
      </c>
      <c r="C219" s="2">
        <v>216</v>
      </c>
      <c r="D219" s="14">
        <v>45</v>
      </c>
      <c r="E219" s="1">
        <f t="shared" si="18"/>
        <v>0.55555555555555558</v>
      </c>
      <c r="F219">
        <f t="shared" si="19"/>
        <v>339.63560833333332</v>
      </c>
      <c r="G219">
        <f t="shared" si="20"/>
        <v>418.82879761025094</v>
      </c>
      <c r="I219">
        <f t="shared" si="21"/>
        <v>5.5555555555555556E-4</v>
      </c>
      <c r="J219">
        <f t="shared" si="22"/>
        <v>0.47171612268518515</v>
      </c>
      <c r="K219">
        <f t="shared" si="23"/>
        <v>1.0051891142646023</v>
      </c>
    </row>
    <row r="220" spans="1:11" x14ac:dyDescent="0.35">
      <c r="A220" s="2" t="s">
        <v>6</v>
      </c>
      <c r="B220" s="2">
        <v>217</v>
      </c>
      <c r="C220" s="2">
        <v>217</v>
      </c>
      <c r="D220" s="14">
        <v>47.1</v>
      </c>
      <c r="E220" s="1">
        <f t="shared" si="18"/>
        <v>0.55555555555555558</v>
      </c>
      <c r="F220">
        <f t="shared" si="19"/>
        <v>341.46960074999998</v>
      </c>
      <c r="G220">
        <f t="shared" si="20"/>
        <v>438.37414149872933</v>
      </c>
      <c r="I220">
        <f t="shared" si="21"/>
        <v>5.5555555555555556E-4</v>
      </c>
      <c r="J220">
        <f t="shared" si="22"/>
        <v>0.47426333437499996</v>
      </c>
      <c r="K220">
        <f t="shared" si="23"/>
        <v>1.0520979395969503</v>
      </c>
    </row>
    <row r="221" spans="1:11" x14ac:dyDescent="0.35">
      <c r="A221" s="2" t="s">
        <v>6</v>
      </c>
      <c r="B221" s="2">
        <v>218</v>
      </c>
      <c r="C221" s="2">
        <v>218</v>
      </c>
      <c r="D221" s="14">
        <v>49</v>
      </c>
      <c r="E221" s="1">
        <f t="shared" si="18"/>
        <v>0.4861111111111111</v>
      </c>
      <c r="F221">
        <f t="shared" si="19"/>
        <v>311.5343268518518</v>
      </c>
      <c r="G221">
        <f t="shared" si="20"/>
        <v>456.05802406449544</v>
      </c>
      <c r="I221">
        <f t="shared" si="21"/>
        <v>5.5555555555555556E-4</v>
      </c>
      <c r="J221">
        <f t="shared" si="22"/>
        <v>0.43268656507201642</v>
      </c>
      <c r="K221">
        <f t="shared" si="23"/>
        <v>1.094539257754789</v>
      </c>
    </row>
    <row r="222" spans="1:11" x14ac:dyDescent="0.35">
      <c r="A222" s="2" t="s">
        <v>6</v>
      </c>
      <c r="B222" s="2">
        <v>219</v>
      </c>
      <c r="C222" s="2">
        <v>219</v>
      </c>
      <c r="D222" s="14">
        <v>50.6</v>
      </c>
      <c r="E222" s="1">
        <f t="shared" si="18"/>
        <v>0.38888888888888851</v>
      </c>
      <c r="F222">
        <f t="shared" si="19"/>
        <v>268.71210996296276</v>
      </c>
      <c r="G222">
        <f t="shared" si="20"/>
        <v>470.94971464619329</v>
      </c>
      <c r="I222">
        <f t="shared" si="21"/>
        <v>5.5555555555555556E-4</v>
      </c>
      <c r="J222">
        <f t="shared" si="22"/>
        <v>0.37321126383744829</v>
      </c>
      <c r="K222">
        <f t="shared" si="23"/>
        <v>1.1302793151508639</v>
      </c>
    </row>
    <row r="223" spans="1:11" x14ac:dyDescent="0.35">
      <c r="A223" s="2" t="s">
        <v>6</v>
      </c>
      <c r="B223" s="2">
        <v>220</v>
      </c>
      <c r="C223" s="2">
        <v>220</v>
      </c>
      <c r="D223" s="14">
        <v>51.8</v>
      </c>
      <c r="E223" s="1">
        <f t="shared" si="18"/>
        <v>0.29166666666666685</v>
      </c>
      <c r="F223">
        <f t="shared" si="19"/>
        <v>225.54397485185194</v>
      </c>
      <c r="G223">
        <f t="shared" si="20"/>
        <v>482.11848258246664</v>
      </c>
      <c r="I223">
        <f t="shared" si="21"/>
        <v>5.5555555555555556E-4</v>
      </c>
      <c r="J223">
        <f t="shared" si="22"/>
        <v>0.31325552062757211</v>
      </c>
      <c r="K223">
        <f t="shared" si="23"/>
        <v>1.15708435819792</v>
      </c>
    </row>
    <row r="224" spans="1:11" x14ac:dyDescent="0.35">
      <c r="A224" s="2" t="s">
        <v>6</v>
      </c>
      <c r="B224" s="2">
        <v>221</v>
      </c>
      <c r="C224" s="2">
        <v>221</v>
      </c>
      <c r="D224" s="14">
        <v>52.7</v>
      </c>
      <c r="E224" s="1">
        <f t="shared" si="18"/>
        <v>0.18055555555555614</v>
      </c>
      <c r="F224">
        <f t="shared" si="19"/>
        <v>175.76912860185212</v>
      </c>
      <c r="G224">
        <f t="shared" si="20"/>
        <v>490.49505853467161</v>
      </c>
      <c r="I224">
        <f t="shared" si="21"/>
        <v>5.5555555555555556E-4</v>
      </c>
      <c r="J224">
        <f t="shared" si="22"/>
        <v>0.24412378972479459</v>
      </c>
      <c r="K224">
        <f t="shared" si="23"/>
        <v>1.1771881404832119</v>
      </c>
    </row>
    <row r="225" spans="1:11" x14ac:dyDescent="0.35">
      <c r="A225" s="2" t="s">
        <v>6</v>
      </c>
      <c r="B225" s="2">
        <v>222</v>
      </c>
      <c r="C225" s="2">
        <v>222</v>
      </c>
      <c r="D225" s="14">
        <v>53.1</v>
      </c>
      <c r="E225" s="1">
        <f t="shared" si="18"/>
        <v>0.11111111111111072</v>
      </c>
      <c r="F225">
        <f t="shared" si="19"/>
        <v>144.50375741666647</v>
      </c>
      <c r="G225">
        <f t="shared" si="20"/>
        <v>494.2179811800961</v>
      </c>
      <c r="I225">
        <f t="shared" si="21"/>
        <v>5.5555555555555556E-4</v>
      </c>
      <c r="J225">
        <f t="shared" si="22"/>
        <v>0.20069966307870343</v>
      </c>
      <c r="K225">
        <f t="shared" si="23"/>
        <v>1.1861231548322306</v>
      </c>
    </row>
    <row r="226" spans="1:11" x14ac:dyDescent="0.35">
      <c r="A226" s="2" t="s">
        <v>6</v>
      </c>
      <c r="B226" s="2">
        <v>223</v>
      </c>
      <c r="C226" s="2">
        <v>223</v>
      </c>
      <c r="D226" s="14">
        <v>53.5</v>
      </c>
      <c r="E226" s="1">
        <f t="shared" si="18"/>
        <v>9.7222222222221627E-2</v>
      </c>
      <c r="F226">
        <f t="shared" si="19"/>
        <v>138.5747539351849</v>
      </c>
      <c r="G226">
        <f t="shared" si="20"/>
        <v>497.94090382552054</v>
      </c>
      <c r="I226">
        <f t="shared" si="21"/>
        <v>5.5555555555555556E-4</v>
      </c>
      <c r="J226">
        <f t="shared" si="22"/>
        <v>0.19246493602109013</v>
      </c>
      <c r="K226">
        <f t="shared" si="23"/>
        <v>1.1950581691812494</v>
      </c>
    </row>
    <row r="227" spans="1:11" x14ac:dyDescent="0.35">
      <c r="A227" s="2" t="s">
        <v>6</v>
      </c>
      <c r="B227" s="2">
        <v>224</v>
      </c>
      <c r="C227" s="2">
        <v>224</v>
      </c>
      <c r="D227" s="14">
        <v>53.8</v>
      </c>
      <c r="E227" s="1">
        <f t="shared" si="18"/>
        <v>9.7222222222222612E-2</v>
      </c>
      <c r="F227">
        <f t="shared" si="19"/>
        <v>138.87999262962978</v>
      </c>
      <c r="G227">
        <f t="shared" si="20"/>
        <v>500.73309580958886</v>
      </c>
      <c r="I227">
        <f t="shared" si="21"/>
        <v>5.5555555555555556E-4</v>
      </c>
      <c r="J227">
        <f t="shared" si="22"/>
        <v>0.19288887865226359</v>
      </c>
      <c r="K227">
        <f t="shared" si="23"/>
        <v>1.2017594299430132</v>
      </c>
    </row>
    <row r="228" spans="1:11" x14ac:dyDescent="0.35">
      <c r="A228" s="2" t="s">
        <v>6</v>
      </c>
      <c r="B228" s="2">
        <v>225</v>
      </c>
      <c r="C228" s="2">
        <v>225</v>
      </c>
      <c r="D228" s="14">
        <v>54.2</v>
      </c>
      <c r="E228" s="1">
        <f t="shared" si="18"/>
        <v>0.1388888888888889</v>
      </c>
      <c r="F228">
        <f t="shared" si="19"/>
        <v>158.28963262962964</v>
      </c>
      <c r="G228">
        <f t="shared" si="20"/>
        <v>504.45601845501335</v>
      </c>
      <c r="I228">
        <f t="shared" si="21"/>
        <v>5.5555555555555556E-4</v>
      </c>
      <c r="J228">
        <f t="shared" si="22"/>
        <v>0.21984671198559672</v>
      </c>
      <c r="K228">
        <f t="shared" si="23"/>
        <v>1.2106944442920322</v>
      </c>
    </row>
    <row r="229" spans="1:11" x14ac:dyDescent="0.35">
      <c r="A229" s="2" t="s">
        <v>6</v>
      </c>
      <c r="B229" s="2">
        <v>226</v>
      </c>
      <c r="C229" s="2">
        <v>226</v>
      </c>
      <c r="D229" s="14">
        <v>54.8</v>
      </c>
      <c r="E229" s="1">
        <f t="shared" si="18"/>
        <v>0.15277777777777699</v>
      </c>
      <c r="F229">
        <f t="shared" si="19"/>
        <v>165.243115407407</v>
      </c>
      <c r="G229">
        <f t="shared" si="20"/>
        <v>510.04040242315</v>
      </c>
      <c r="I229">
        <f t="shared" si="21"/>
        <v>5.5555555555555556E-4</v>
      </c>
      <c r="J229">
        <f t="shared" si="22"/>
        <v>0.22950432695473194</v>
      </c>
      <c r="K229">
        <f t="shared" si="23"/>
        <v>1.22409696581556</v>
      </c>
    </row>
    <row r="230" spans="1:11" x14ac:dyDescent="0.35">
      <c r="A230" s="2" t="s">
        <v>6</v>
      </c>
      <c r="B230" s="2">
        <v>227</v>
      </c>
      <c r="C230" s="2">
        <v>227</v>
      </c>
      <c r="D230" s="14">
        <v>55.3</v>
      </c>
      <c r="E230" s="1">
        <f t="shared" si="18"/>
        <v>0.1388888888888889</v>
      </c>
      <c r="F230">
        <f t="shared" si="19"/>
        <v>159.43178860185185</v>
      </c>
      <c r="G230">
        <f t="shared" si="20"/>
        <v>514.6940557299306</v>
      </c>
      <c r="I230">
        <f t="shared" si="21"/>
        <v>5.5555555555555556E-4</v>
      </c>
      <c r="J230">
        <f t="shared" si="22"/>
        <v>0.22143303972479422</v>
      </c>
      <c r="K230">
        <f t="shared" si="23"/>
        <v>1.2352657337518336</v>
      </c>
    </row>
    <row r="231" spans="1:11" x14ac:dyDescent="0.35">
      <c r="A231" s="2" t="s">
        <v>6</v>
      </c>
      <c r="B231" s="2">
        <v>228</v>
      </c>
      <c r="C231" s="2">
        <v>228</v>
      </c>
      <c r="D231" s="14">
        <v>55.8</v>
      </c>
      <c r="E231" s="1">
        <f t="shared" si="18"/>
        <v>0.12500000000000078</v>
      </c>
      <c r="F231">
        <f t="shared" si="19"/>
        <v>153.62520300000034</v>
      </c>
      <c r="G231">
        <f t="shared" si="20"/>
        <v>519.34770903671119</v>
      </c>
      <c r="I231">
        <f t="shared" si="21"/>
        <v>5.5555555555555556E-4</v>
      </c>
      <c r="J231">
        <f t="shared" si="22"/>
        <v>0.21336833750000048</v>
      </c>
      <c r="K231">
        <f t="shared" si="23"/>
        <v>1.2464345016881069</v>
      </c>
    </row>
    <row r="232" spans="1:11" x14ac:dyDescent="0.35">
      <c r="A232" s="2" t="s">
        <v>6</v>
      </c>
      <c r="B232" s="2">
        <v>229</v>
      </c>
      <c r="C232" s="2">
        <v>229</v>
      </c>
      <c r="D232" s="14">
        <v>56.2</v>
      </c>
      <c r="E232" s="1">
        <f t="shared" si="18"/>
        <v>9.7222222222222612E-2</v>
      </c>
      <c r="F232">
        <f t="shared" si="19"/>
        <v>141.38334818518535</v>
      </c>
      <c r="G232">
        <f t="shared" si="20"/>
        <v>523.07063168213563</v>
      </c>
      <c r="I232">
        <f t="shared" si="21"/>
        <v>5.5555555555555556E-4</v>
      </c>
      <c r="J232">
        <f t="shared" si="22"/>
        <v>0.19636576136831299</v>
      </c>
      <c r="K232">
        <f t="shared" si="23"/>
        <v>1.2553695160371254</v>
      </c>
    </row>
    <row r="233" spans="1:11" x14ac:dyDescent="0.35">
      <c r="A233" s="2" t="s">
        <v>6</v>
      </c>
      <c r="B233" s="2">
        <v>230</v>
      </c>
      <c r="C233" s="2">
        <v>230</v>
      </c>
      <c r="D233" s="14">
        <v>56.5</v>
      </c>
      <c r="E233" s="1">
        <f t="shared" si="18"/>
        <v>4.1666666666666269E-2</v>
      </c>
      <c r="F233">
        <f t="shared" si="19"/>
        <v>116.37061504629609</v>
      </c>
      <c r="G233">
        <f t="shared" si="20"/>
        <v>525.86282366620389</v>
      </c>
      <c r="I233">
        <f t="shared" si="21"/>
        <v>5.5555555555555556E-4</v>
      </c>
      <c r="J233">
        <f t="shared" si="22"/>
        <v>0.16162585423096679</v>
      </c>
      <c r="K233">
        <f t="shared" si="23"/>
        <v>1.2620707767988895</v>
      </c>
    </row>
    <row r="234" spans="1:11" x14ac:dyDescent="0.35">
      <c r="A234" s="2" t="s">
        <v>6</v>
      </c>
      <c r="B234" s="2">
        <v>231</v>
      </c>
      <c r="C234" s="2">
        <v>231</v>
      </c>
      <c r="D234" s="14">
        <v>56.5</v>
      </c>
      <c r="E234" s="1">
        <f t="shared" si="18"/>
        <v>-4.1666666666666269E-2</v>
      </c>
      <c r="F234">
        <f t="shared" si="19"/>
        <v>78.370615046296479</v>
      </c>
      <c r="G234">
        <f t="shared" si="20"/>
        <v>525.86282366620389</v>
      </c>
      <c r="I234">
        <f t="shared" si="21"/>
        <v>5.5555555555555556E-4</v>
      </c>
      <c r="J234">
        <f t="shared" si="22"/>
        <v>0.10884807645318956</v>
      </c>
      <c r="K234">
        <f t="shared" si="23"/>
        <v>1.2620707767988895</v>
      </c>
    </row>
    <row r="235" spans="1:11" x14ac:dyDescent="0.35">
      <c r="A235" s="2" t="s">
        <v>6</v>
      </c>
      <c r="B235" s="2">
        <v>232</v>
      </c>
      <c r="C235" s="2">
        <v>232</v>
      </c>
      <c r="D235" s="14">
        <v>56.2</v>
      </c>
      <c r="E235" s="1">
        <f t="shared" si="18"/>
        <v>-0.2222222222222224</v>
      </c>
      <c r="F235">
        <f t="shared" si="19"/>
        <v>0</v>
      </c>
      <c r="G235">
        <f t="shared" si="20"/>
        <v>523.07063168213563</v>
      </c>
      <c r="I235">
        <f t="shared" si="21"/>
        <v>5.5555555555555556E-4</v>
      </c>
      <c r="J235">
        <f t="shared" si="22"/>
        <v>0</v>
      </c>
      <c r="K235">
        <f t="shared" si="23"/>
        <v>1.2553695160371254</v>
      </c>
    </row>
    <row r="236" spans="1:11" x14ac:dyDescent="0.35">
      <c r="A236" s="2" t="s">
        <v>6</v>
      </c>
      <c r="B236" s="2">
        <v>233</v>
      </c>
      <c r="C236" s="2">
        <v>233</v>
      </c>
      <c r="D236" s="14">
        <v>54.9</v>
      </c>
      <c r="E236" s="1">
        <f t="shared" si="18"/>
        <v>-0.45833333333333393</v>
      </c>
      <c r="F236">
        <f t="shared" si="19"/>
        <v>0</v>
      </c>
      <c r="G236">
        <f t="shared" si="20"/>
        <v>510.97113308450611</v>
      </c>
      <c r="I236">
        <f t="shared" si="21"/>
        <v>5.5555555555555556E-4</v>
      </c>
      <c r="J236">
        <f t="shared" si="22"/>
        <v>0</v>
      </c>
      <c r="K236">
        <f t="shared" si="23"/>
        <v>1.2263307194028146</v>
      </c>
    </row>
    <row r="237" spans="1:11" x14ac:dyDescent="0.35">
      <c r="A237" s="2" t="s">
        <v>6</v>
      </c>
      <c r="B237" s="2">
        <v>234</v>
      </c>
      <c r="C237" s="2">
        <v>234</v>
      </c>
      <c r="D237" s="14">
        <v>52.9</v>
      </c>
      <c r="E237" s="1">
        <f t="shared" si="18"/>
        <v>-0.54166666666666641</v>
      </c>
      <c r="F237">
        <f t="shared" si="19"/>
        <v>0</v>
      </c>
      <c r="G237">
        <f t="shared" si="20"/>
        <v>492.35651985738389</v>
      </c>
      <c r="I237">
        <f t="shared" si="21"/>
        <v>5.5555555555555556E-4</v>
      </c>
      <c r="J237">
        <f t="shared" si="22"/>
        <v>0</v>
      </c>
      <c r="K237">
        <f t="shared" si="23"/>
        <v>1.1816556476577214</v>
      </c>
    </row>
    <row r="238" spans="1:11" x14ac:dyDescent="0.35">
      <c r="A238" s="2" t="s">
        <v>6</v>
      </c>
      <c r="B238" s="2">
        <v>235</v>
      </c>
      <c r="C238" s="2">
        <v>235</v>
      </c>
      <c r="D238" s="14">
        <v>51</v>
      </c>
      <c r="E238" s="1">
        <f t="shared" si="18"/>
        <v>-0.43055555555555575</v>
      </c>
      <c r="F238">
        <f t="shared" si="19"/>
        <v>0</v>
      </c>
      <c r="G238">
        <f t="shared" si="20"/>
        <v>474.67263729161772</v>
      </c>
      <c r="I238">
        <f t="shared" si="21"/>
        <v>5.5555555555555556E-4</v>
      </c>
      <c r="J238">
        <f t="shared" si="22"/>
        <v>0</v>
      </c>
      <c r="K238">
        <f t="shared" si="23"/>
        <v>1.1392143294998827</v>
      </c>
    </row>
    <row r="239" spans="1:11" x14ac:dyDescent="0.35">
      <c r="A239" s="2" t="s">
        <v>6</v>
      </c>
      <c r="B239" s="2">
        <v>236</v>
      </c>
      <c r="C239" s="2">
        <v>236</v>
      </c>
      <c r="D239" s="14">
        <v>49.8</v>
      </c>
      <c r="E239" s="1">
        <f t="shared" si="18"/>
        <v>-0.24999999999999961</v>
      </c>
      <c r="F239">
        <f t="shared" si="19"/>
        <v>0</v>
      </c>
      <c r="G239">
        <f t="shared" si="20"/>
        <v>463.50386935534436</v>
      </c>
      <c r="I239">
        <f t="shared" si="21"/>
        <v>5.5555555555555556E-4</v>
      </c>
      <c r="J239">
        <f t="shared" si="22"/>
        <v>0</v>
      </c>
      <c r="K239">
        <f t="shared" si="23"/>
        <v>1.1124092864528266</v>
      </c>
    </row>
    <row r="240" spans="1:11" x14ac:dyDescent="0.35">
      <c r="A240" s="2" t="s">
        <v>6</v>
      </c>
      <c r="B240" s="2">
        <v>237</v>
      </c>
      <c r="C240" s="2">
        <v>237</v>
      </c>
      <c r="D240" s="14">
        <v>49.2</v>
      </c>
      <c r="E240" s="1">
        <f t="shared" si="18"/>
        <v>-0.19444444444444425</v>
      </c>
      <c r="F240">
        <f t="shared" si="19"/>
        <v>1.3872280000000907</v>
      </c>
      <c r="G240">
        <f t="shared" si="20"/>
        <v>457.91948538720766</v>
      </c>
      <c r="I240">
        <f t="shared" si="21"/>
        <v>5.5555555555555556E-4</v>
      </c>
      <c r="J240">
        <f t="shared" si="22"/>
        <v>1.9267055555556817E-3</v>
      </c>
      <c r="K240">
        <f t="shared" si="23"/>
        <v>1.0990067649292985</v>
      </c>
    </row>
    <row r="241" spans="1:11" x14ac:dyDescent="0.35">
      <c r="A241" s="2" t="s">
        <v>6</v>
      </c>
      <c r="B241" s="2">
        <v>238</v>
      </c>
      <c r="C241" s="2">
        <v>238</v>
      </c>
      <c r="D241" s="14">
        <v>48.4</v>
      </c>
      <c r="E241" s="1">
        <f t="shared" si="18"/>
        <v>-0.31944444444444503</v>
      </c>
      <c r="F241">
        <f t="shared" si="19"/>
        <v>0</v>
      </c>
      <c r="G241">
        <f t="shared" si="20"/>
        <v>450.47364009635879</v>
      </c>
      <c r="I241">
        <f t="shared" si="21"/>
        <v>5.5555555555555556E-4</v>
      </c>
      <c r="J241">
        <f t="shared" si="22"/>
        <v>0</v>
      </c>
      <c r="K241">
        <f t="shared" si="23"/>
        <v>1.0811367362312612</v>
      </c>
    </row>
    <row r="242" spans="1:11" x14ac:dyDescent="0.35">
      <c r="A242" s="2" t="s">
        <v>6</v>
      </c>
      <c r="B242" s="2">
        <v>239</v>
      </c>
      <c r="C242" s="2">
        <v>239</v>
      </c>
      <c r="D242" s="14">
        <v>46.9</v>
      </c>
      <c r="E242" s="1">
        <f t="shared" si="18"/>
        <v>-0.56944444444444464</v>
      </c>
      <c r="F242">
        <f t="shared" si="19"/>
        <v>0</v>
      </c>
      <c r="G242">
        <f t="shared" si="20"/>
        <v>436.51268017601706</v>
      </c>
      <c r="I242">
        <f t="shared" si="21"/>
        <v>5.5555555555555556E-4</v>
      </c>
      <c r="J242">
        <f t="shared" si="22"/>
        <v>0</v>
      </c>
      <c r="K242">
        <f t="shared" si="23"/>
        <v>1.047630432422441</v>
      </c>
    </row>
    <row r="243" spans="1:11" x14ac:dyDescent="0.35">
      <c r="A243" s="2" t="s">
        <v>6</v>
      </c>
      <c r="B243" s="2">
        <v>240</v>
      </c>
      <c r="C243" s="2">
        <v>240</v>
      </c>
      <c r="D243" s="14">
        <v>44.3</v>
      </c>
      <c r="E243" s="1">
        <f t="shared" si="18"/>
        <v>-0.74999999999999978</v>
      </c>
      <c r="F243">
        <f t="shared" si="19"/>
        <v>0</v>
      </c>
      <c r="G243">
        <f t="shared" si="20"/>
        <v>412.31368298075813</v>
      </c>
      <c r="I243">
        <f t="shared" si="21"/>
        <v>5.5555555555555556E-4</v>
      </c>
      <c r="J243">
        <f t="shared" si="22"/>
        <v>0</v>
      </c>
      <c r="K243">
        <f t="shared" si="23"/>
        <v>0.98955283915381964</v>
      </c>
    </row>
    <row r="244" spans="1:11" x14ac:dyDescent="0.35">
      <c r="A244" s="2" t="s">
        <v>6</v>
      </c>
      <c r="B244" s="2">
        <v>241</v>
      </c>
      <c r="C244" s="2">
        <v>241</v>
      </c>
      <c r="D244" s="14">
        <v>41.5</v>
      </c>
      <c r="E244" s="1">
        <f t="shared" si="18"/>
        <v>-0.6666666666666663</v>
      </c>
      <c r="F244">
        <f t="shared" si="19"/>
        <v>0</v>
      </c>
      <c r="G244">
        <f t="shared" si="20"/>
        <v>386.25322446278699</v>
      </c>
      <c r="I244">
        <f t="shared" si="21"/>
        <v>5.5555555555555556E-4</v>
      </c>
      <c r="J244">
        <f t="shared" si="22"/>
        <v>0</v>
      </c>
      <c r="K244">
        <f t="shared" si="23"/>
        <v>0.92700773871068876</v>
      </c>
    </row>
    <row r="245" spans="1:11" x14ac:dyDescent="0.35">
      <c r="A245" s="2" t="s">
        <v>6</v>
      </c>
      <c r="B245" s="2">
        <v>242</v>
      </c>
      <c r="C245" s="2">
        <v>242</v>
      </c>
      <c r="D245" s="14">
        <v>39.5</v>
      </c>
      <c r="E245" s="1">
        <f t="shared" si="18"/>
        <v>-0.625</v>
      </c>
      <c r="F245">
        <f t="shared" si="19"/>
        <v>0</v>
      </c>
      <c r="G245">
        <f t="shared" si="20"/>
        <v>367.63861123566471</v>
      </c>
      <c r="I245">
        <f t="shared" si="21"/>
        <v>5.5555555555555556E-4</v>
      </c>
      <c r="J245">
        <f t="shared" si="22"/>
        <v>0</v>
      </c>
      <c r="K245">
        <f t="shared" si="23"/>
        <v>0.88233266696559531</v>
      </c>
    </row>
    <row r="246" spans="1:11" x14ac:dyDescent="0.35">
      <c r="A246" s="2" t="s">
        <v>6</v>
      </c>
      <c r="B246" s="2">
        <v>243</v>
      </c>
      <c r="C246" s="2">
        <v>243</v>
      </c>
      <c r="D246" s="14">
        <v>37</v>
      </c>
      <c r="E246" s="1">
        <f t="shared" si="18"/>
        <v>-0.68055555555555536</v>
      </c>
      <c r="F246">
        <f t="shared" si="19"/>
        <v>0</v>
      </c>
      <c r="G246">
        <f t="shared" si="20"/>
        <v>344.37034470176189</v>
      </c>
      <c r="I246">
        <f t="shared" si="21"/>
        <v>5.5555555555555556E-4</v>
      </c>
      <c r="J246">
        <f t="shared" si="22"/>
        <v>0</v>
      </c>
      <c r="K246">
        <f t="shared" si="23"/>
        <v>0.82648882728422857</v>
      </c>
    </row>
    <row r="247" spans="1:11" x14ac:dyDescent="0.35">
      <c r="A247" s="2" t="s">
        <v>6</v>
      </c>
      <c r="B247" s="2">
        <v>244</v>
      </c>
      <c r="C247" s="2">
        <v>244</v>
      </c>
      <c r="D247" s="14">
        <v>34.6</v>
      </c>
      <c r="E247" s="1">
        <f t="shared" si="18"/>
        <v>-0.65277777777777812</v>
      </c>
      <c r="F247">
        <f t="shared" si="19"/>
        <v>0</v>
      </c>
      <c r="G247">
        <f t="shared" si="20"/>
        <v>322.03280882921513</v>
      </c>
      <c r="I247">
        <f t="shared" si="21"/>
        <v>5.5555555555555556E-4</v>
      </c>
      <c r="J247">
        <f t="shared" si="22"/>
        <v>0</v>
      </c>
      <c r="K247">
        <f t="shared" si="23"/>
        <v>0.77287874119011635</v>
      </c>
    </row>
    <row r="248" spans="1:11" x14ac:dyDescent="0.35">
      <c r="A248" s="2" t="s">
        <v>6</v>
      </c>
      <c r="B248" s="2">
        <v>245</v>
      </c>
      <c r="C248" s="2">
        <v>245</v>
      </c>
      <c r="D248" s="14">
        <v>32.299999999999997</v>
      </c>
      <c r="E248" s="1">
        <f t="shared" si="18"/>
        <v>-0.7777777777777779</v>
      </c>
      <c r="F248">
        <f t="shared" si="19"/>
        <v>0</v>
      </c>
      <c r="G248">
        <f t="shared" si="20"/>
        <v>300.62600361802453</v>
      </c>
      <c r="I248">
        <f t="shared" si="21"/>
        <v>5.5555555555555556E-4</v>
      </c>
      <c r="J248">
        <f t="shared" si="22"/>
        <v>0</v>
      </c>
      <c r="K248">
        <f t="shared" si="23"/>
        <v>0.72150240868325899</v>
      </c>
    </row>
    <row r="249" spans="1:11" x14ac:dyDescent="0.35">
      <c r="A249" s="2" t="s">
        <v>6</v>
      </c>
      <c r="B249" s="2">
        <v>246</v>
      </c>
      <c r="C249" s="2">
        <v>246</v>
      </c>
      <c r="D249" s="14">
        <v>29</v>
      </c>
      <c r="E249" s="1">
        <f t="shared" si="18"/>
        <v>-0.99999999999999933</v>
      </c>
      <c r="F249">
        <f t="shared" si="19"/>
        <v>0</v>
      </c>
      <c r="G249">
        <f t="shared" si="20"/>
        <v>269.91189179327284</v>
      </c>
      <c r="I249">
        <f t="shared" si="21"/>
        <v>5.5555555555555556E-4</v>
      </c>
      <c r="J249">
        <f t="shared" si="22"/>
        <v>0</v>
      </c>
      <c r="K249">
        <f t="shared" si="23"/>
        <v>0.6477885403038548</v>
      </c>
    </row>
    <row r="250" spans="1:11" x14ac:dyDescent="0.35">
      <c r="A250" s="2" t="s">
        <v>6</v>
      </c>
      <c r="B250" s="2">
        <v>247</v>
      </c>
      <c r="C250" s="2">
        <v>247</v>
      </c>
      <c r="D250" s="14">
        <v>25.1</v>
      </c>
      <c r="E250" s="1">
        <f t="shared" si="18"/>
        <v>-0.94444444444444453</v>
      </c>
      <c r="F250">
        <f t="shared" si="19"/>
        <v>0</v>
      </c>
      <c r="G250">
        <f t="shared" si="20"/>
        <v>233.6133960003844</v>
      </c>
      <c r="I250">
        <f t="shared" si="21"/>
        <v>5.5555555555555556E-4</v>
      </c>
      <c r="J250">
        <f t="shared" si="22"/>
        <v>0</v>
      </c>
      <c r="K250">
        <f t="shared" si="23"/>
        <v>0.56067215040092255</v>
      </c>
    </row>
    <row r="251" spans="1:11" x14ac:dyDescent="0.35">
      <c r="A251" s="2" t="s">
        <v>6</v>
      </c>
      <c r="B251" s="2">
        <v>248</v>
      </c>
      <c r="C251" s="2">
        <v>248</v>
      </c>
      <c r="D251" s="14">
        <v>22.2</v>
      </c>
      <c r="E251" s="1">
        <f t="shared" si="18"/>
        <v>-0.5833333333333337</v>
      </c>
      <c r="F251">
        <f t="shared" si="19"/>
        <v>0</v>
      </c>
      <c r="G251">
        <f t="shared" si="20"/>
        <v>206.62220682105712</v>
      </c>
      <c r="I251">
        <f t="shared" si="21"/>
        <v>5.5555555555555556E-4</v>
      </c>
      <c r="J251">
        <f t="shared" si="22"/>
        <v>0</v>
      </c>
      <c r="K251">
        <f t="shared" si="23"/>
        <v>0.49589329637053714</v>
      </c>
    </row>
    <row r="252" spans="1:11" x14ac:dyDescent="0.35">
      <c r="A252" s="2" t="s">
        <v>6</v>
      </c>
      <c r="B252" s="2">
        <v>249</v>
      </c>
      <c r="C252" s="2">
        <v>249</v>
      </c>
      <c r="D252" s="14">
        <v>20.9</v>
      </c>
      <c r="E252" s="1">
        <f t="shared" si="18"/>
        <v>-0.25000000000000011</v>
      </c>
      <c r="F252">
        <f t="shared" si="19"/>
        <v>0</v>
      </c>
      <c r="G252">
        <f t="shared" si="20"/>
        <v>194.52270822342766</v>
      </c>
      <c r="I252">
        <f t="shared" si="21"/>
        <v>5.5555555555555556E-4</v>
      </c>
      <c r="J252">
        <f t="shared" si="22"/>
        <v>0</v>
      </c>
      <c r="K252">
        <f t="shared" si="23"/>
        <v>0.46685449973622639</v>
      </c>
    </row>
    <row r="253" spans="1:11" x14ac:dyDescent="0.35">
      <c r="A253" s="2" t="s">
        <v>6</v>
      </c>
      <c r="B253" s="2">
        <v>250</v>
      </c>
      <c r="C253" s="2">
        <v>250</v>
      </c>
      <c r="D253" s="14">
        <v>20.399999999999999</v>
      </c>
      <c r="E253" s="1">
        <f t="shared" si="18"/>
        <v>-0.19444444444444425</v>
      </c>
      <c r="F253">
        <f t="shared" si="19"/>
        <v>0</v>
      </c>
      <c r="G253">
        <f t="shared" si="20"/>
        <v>189.86905491664709</v>
      </c>
      <c r="I253">
        <f t="shared" si="21"/>
        <v>5.5555555555555556E-4</v>
      </c>
      <c r="J253">
        <f t="shared" si="22"/>
        <v>0</v>
      </c>
      <c r="K253">
        <f t="shared" si="23"/>
        <v>0.45568573179995298</v>
      </c>
    </row>
    <row r="254" spans="1:11" x14ac:dyDescent="0.35">
      <c r="A254" s="2" t="s">
        <v>6</v>
      </c>
      <c r="B254" s="2">
        <v>251</v>
      </c>
      <c r="C254" s="2">
        <v>251</v>
      </c>
      <c r="D254" s="14">
        <v>19.5</v>
      </c>
      <c r="E254" s="1">
        <f t="shared" si="18"/>
        <v>-0.27777777777777779</v>
      </c>
      <c r="F254">
        <f t="shared" si="19"/>
        <v>0</v>
      </c>
      <c r="G254">
        <f t="shared" si="20"/>
        <v>181.49247896444206</v>
      </c>
      <c r="I254">
        <f t="shared" si="21"/>
        <v>5.5555555555555556E-4</v>
      </c>
      <c r="J254">
        <f t="shared" si="22"/>
        <v>0</v>
      </c>
      <c r="K254">
        <f t="shared" si="23"/>
        <v>0.43558194951466095</v>
      </c>
    </row>
    <row r="255" spans="1:11" x14ac:dyDescent="0.35">
      <c r="A255" s="2" t="s">
        <v>6</v>
      </c>
      <c r="B255" s="2">
        <v>252</v>
      </c>
      <c r="C255" s="2">
        <v>252</v>
      </c>
      <c r="D255" s="14">
        <v>18.399999999999999</v>
      </c>
      <c r="E255" s="1">
        <f t="shared" si="18"/>
        <v>-0.23611111111111099</v>
      </c>
      <c r="F255">
        <f t="shared" si="19"/>
        <v>0</v>
      </c>
      <c r="G255">
        <f t="shared" si="20"/>
        <v>171.25444168952481</v>
      </c>
      <c r="I255">
        <f t="shared" si="21"/>
        <v>5.5555555555555556E-4</v>
      </c>
      <c r="J255">
        <f t="shared" si="22"/>
        <v>0</v>
      </c>
      <c r="K255">
        <f t="shared" si="23"/>
        <v>0.41101066005485959</v>
      </c>
    </row>
    <row r="256" spans="1:11" x14ac:dyDescent="0.35">
      <c r="A256" s="2" t="s">
        <v>6</v>
      </c>
      <c r="B256" s="2">
        <v>253</v>
      </c>
      <c r="C256" s="2">
        <v>253</v>
      </c>
      <c r="D256" s="14">
        <v>17.8</v>
      </c>
      <c r="E256" s="1">
        <f t="shared" si="18"/>
        <v>-8.3333333333333037E-2</v>
      </c>
      <c r="F256">
        <f t="shared" si="19"/>
        <v>32.104805962963091</v>
      </c>
      <c r="G256">
        <f t="shared" si="20"/>
        <v>165.67005772138813</v>
      </c>
      <c r="I256">
        <f t="shared" si="21"/>
        <v>5.5555555555555556E-4</v>
      </c>
      <c r="J256">
        <f t="shared" si="22"/>
        <v>4.4590008281893183E-2</v>
      </c>
      <c r="K256">
        <f t="shared" si="23"/>
        <v>0.39760813853133153</v>
      </c>
    </row>
    <row r="257" spans="1:11" x14ac:dyDescent="0.35">
      <c r="A257" s="2" t="s">
        <v>6</v>
      </c>
      <c r="B257" s="2">
        <v>254</v>
      </c>
      <c r="C257" s="2">
        <v>254</v>
      </c>
      <c r="D257" s="14">
        <v>17.8</v>
      </c>
      <c r="E257" s="1">
        <f t="shared" si="18"/>
        <v>-5.5555555555555851E-2</v>
      </c>
      <c r="F257">
        <f t="shared" si="19"/>
        <v>44.771472629629486</v>
      </c>
      <c r="G257">
        <f t="shared" si="20"/>
        <v>165.67005772138813</v>
      </c>
      <c r="I257">
        <f t="shared" si="21"/>
        <v>5.5555555555555556E-4</v>
      </c>
      <c r="J257">
        <f t="shared" si="22"/>
        <v>6.2182600874485398E-2</v>
      </c>
      <c r="K257">
        <f t="shared" si="23"/>
        <v>0.39760813853133153</v>
      </c>
    </row>
    <row r="258" spans="1:11" x14ac:dyDescent="0.35">
      <c r="A258" s="2" t="s">
        <v>6</v>
      </c>
      <c r="B258" s="2">
        <v>255</v>
      </c>
      <c r="C258" s="2">
        <v>255</v>
      </c>
      <c r="D258" s="14">
        <v>17.399999999999999</v>
      </c>
      <c r="E258" s="1">
        <f t="shared" si="18"/>
        <v>-0.29166666666666685</v>
      </c>
      <c r="F258">
        <f t="shared" si="19"/>
        <v>0</v>
      </c>
      <c r="G258">
        <f t="shared" si="20"/>
        <v>161.9471350759637</v>
      </c>
      <c r="I258">
        <f t="shared" si="21"/>
        <v>5.5555555555555556E-4</v>
      </c>
      <c r="J258">
        <f t="shared" si="22"/>
        <v>0</v>
      </c>
      <c r="K258">
        <f t="shared" si="23"/>
        <v>0.38867312418231292</v>
      </c>
    </row>
    <row r="259" spans="1:11" x14ac:dyDescent="0.35">
      <c r="A259" s="2" t="s">
        <v>6</v>
      </c>
      <c r="B259" s="2">
        <v>256</v>
      </c>
      <c r="C259" s="2">
        <v>256</v>
      </c>
      <c r="D259" s="14">
        <v>15.7</v>
      </c>
      <c r="E259" s="1">
        <f t="shared" si="18"/>
        <v>-0.40277777777777757</v>
      </c>
      <c r="F259">
        <f t="shared" si="19"/>
        <v>0</v>
      </c>
      <c r="G259">
        <f t="shared" si="20"/>
        <v>146.12471383290978</v>
      </c>
      <c r="I259">
        <f t="shared" si="21"/>
        <v>5.5555555555555556E-4</v>
      </c>
      <c r="J259">
        <f t="shared" si="22"/>
        <v>0</v>
      </c>
      <c r="K259">
        <f t="shared" si="23"/>
        <v>0.35069931319898351</v>
      </c>
    </row>
    <row r="260" spans="1:11" x14ac:dyDescent="0.35">
      <c r="A260" s="2" t="s">
        <v>6</v>
      </c>
      <c r="B260" s="2">
        <v>257</v>
      </c>
      <c r="C260" s="2">
        <v>257</v>
      </c>
      <c r="D260" s="14">
        <v>14.5</v>
      </c>
      <c r="E260" s="1">
        <f t="shared" si="18"/>
        <v>-4.1666666666666519E-2</v>
      </c>
      <c r="F260">
        <f t="shared" si="19"/>
        <v>50.094076157407471</v>
      </c>
      <c r="G260">
        <f t="shared" si="20"/>
        <v>134.95594589663642</v>
      </c>
      <c r="I260">
        <f t="shared" si="21"/>
        <v>5.5555555555555556E-4</v>
      </c>
      <c r="J260">
        <f t="shared" si="22"/>
        <v>6.957510577417704E-2</v>
      </c>
      <c r="K260">
        <f t="shared" si="23"/>
        <v>0.3238942701519274</v>
      </c>
    </row>
    <row r="261" spans="1:11" x14ac:dyDescent="0.35">
      <c r="A261" s="2" t="s">
        <v>6</v>
      </c>
      <c r="B261" s="2">
        <v>258</v>
      </c>
      <c r="C261" s="2">
        <v>258</v>
      </c>
      <c r="D261" s="14">
        <v>15.4</v>
      </c>
      <c r="E261" s="1">
        <f t="shared" ref="E261:E324" si="24">($D262-$D260)/2/3.6</f>
        <v>0.47222222222222199</v>
      </c>
      <c r="F261">
        <f t="shared" ref="F261:F324" si="25">IF(D261=0,0,MAX(0,0.285*(1600*E261 + 1600*9.81*0.015 + 0.5*1.225*0.32*2.2*(D261/3.6)^2)))</f>
        <v>284.68258107407394</v>
      </c>
      <c r="G261">
        <f t="shared" ref="G261:G324" si="26">60*D261/(2*PI()*3.6*0.285)</f>
        <v>143.33252184884142</v>
      </c>
      <c r="I261">
        <f t="shared" ref="I261:I324" si="27">1/1800</f>
        <v>5.5555555555555556E-4</v>
      </c>
      <c r="J261">
        <f t="shared" ref="J261:J324" si="28">F261/(M$3*3.6)</f>
        <v>0.39539247371399155</v>
      </c>
      <c r="K261">
        <f t="shared" ref="K261:K324" si="29">G261*3.6/N$3</f>
        <v>0.34399805243721943</v>
      </c>
    </row>
    <row r="262" spans="1:11" x14ac:dyDescent="0.35">
      <c r="A262" s="2" t="s">
        <v>6</v>
      </c>
      <c r="B262" s="2">
        <v>259</v>
      </c>
      <c r="C262" s="2">
        <v>259</v>
      </c>
      <c r="D262" s="14">
        <v>17.899999999999999</v>
      </c>
      <c r="E262" s="1">
        <f t="shared" si="24"/>
        <v>0.72222222222222232</v>
      </c>
      <c r="F262">
        <f t="shared" si="25"/>
        <v>399.47199149074078</v>
      </c>
      <c r="G262">
        <f t="shared" si="26"/>
        <v>166.60078838274427</v>
      </c>
      <c r="I262">
        <f t="shared" si="27"/>
        <v>5.5555555555555556E-4</v>
      </c>
      <c r="J262">
        <f t="shared" si="28"/>
        <v>0.55482221040380664</v>
      </c>
      <c r="K262">
        <f t="shared" si="29"/>
        <v>0.39984189211858628</v>
      </c>
    </row>
    <row r="263" spans="1:11" x14ac:dyDescent="0.35">
      <c r="A263" s="2" t="s">
        <v>6</v>
      </c>
      <c r="B263" s="2">
        <v>260</v>
      </c>
      <c r="C263" s="2">
        <v>260</v>
      </c>
      <c r="D263" s="14">
        <v>20.6</v>
      </c>
      <c r="E263" s="1">
        <f t="shared" si="24"/>
        <v>0.73611111111111116</v>
      </c>
      <c r="F263">
        <f t="shared" si="25"/>
        <v>406.79102107407408</v>
      </c>
      <c r="G263">
        <f t="shared" si="26"/>
        <v>191.7305162393593</v>
      </c>
      <c r="I263">
        <f t="shared" si="27"/>
        <v>5.5555555555555556E-4</v>
      </c>
      <c r="J263">
        <f t="shared" si="28"/>
        <v>0.56498752926954732</v>
      </c>
      <c r="K263">
        <f t="shared" si="29"/>
        <v>0.46015323897446236</v>
      </c>
    </row>
    <row r="264" spans="1:11" x14ac:dyDescent="0.35">
      <c r="A264" s="2" t="s">
        <v>6</v>
      </c>
      <c r="B264" s="2">
        <v>261</v>
      </c>
      <c r="C264" s="2">
        <v>261</v>
      </c>
      <c r="D264" s="14">
        <v>23.2</v>
      </c>
      <c r="E264" s="1">
        <f t="shared" si="24"/>
        <v>0.70833333333333304</v>
      </c>
      <c r="F264">
        <f t="shared" si="25"/>
        <v>395.2042109629628</v>
      </c>
      <c r="G264">
        <f t="shared" si="26"/>
        <v>215.92951343461826</v>
      </c>
      <c r="I264">
        <f t="shared" si="27"/>
        <v>5.5555555555555556E-4</v>
      </c>
      <c r="J264">
        <f t="shared" si="28"/>
        <v>0.54889473744855943</v>
      </c>
      <c r="K264">
        <f t="shared" si="29"/>
        <v>0.51823083224308375</v>
      </c>
    </row>
    <row r="265" spans="1:11" x14ac:dyDescent="0.35">
      <c r="A265" s="2" t="s">
        <v>6</v>
      </c>
      <c r="B265" s="2">
        <v>262</v>
      </c>
      <c r="C265" s="2">
        <v>262</v>
      </c>
      <c r="D265" s="14">
        <v>25.7</v>
      </c>
      <c r="E265" s="1">
        <f t="shared" si="24"/>
        <v>0.76388888888888884</v>
      </c>
      <c r="F265">
        <f t="shared" si="25"/>
        <v>421.69676860185183</v>
      </c>
      <c r="G265">
        <f t="shared" si="26"/>
        <v>239.19777996852108</v>
      </c>
      <c r="I265">
        <f t="shared" si="27"/>
        <v>5.5555555555555556E-4</v>
      </c>
      <c r="J265">
        <f t="shared" si="28"/>
        <v>0.58568995639146082</v>
      </c>
      <c r="K265">
        <f t="shared" si="29"/>
        <v>0.57407467192445061</v>
      </c>
    </row>
    <row r="266" spans="1:11" x14ac:dyDescent="0.35">
      <c r="A266" s="2" t="s">
        <v>6</v>
      </c>
      <c r="B266" s="2">
        <v>263</v>
      </c>
      <c r="C266" s="2">
        <v>263</v>
      </c>
      <c r="D266" s="14">
        <v>28.7</v>
      </c>
      <c r="E266" s="1">
        <f t="shared" si="24"/>
        <v>0.94444444444444453</v>
      </c>
      <c r="F266">
        <f t="shared" si="25"/>
        <v>505.57763082407411</v>
      </c>
      <c r="G266">
        <f t="shared" si="26"/>
        <v>267.11969980920446</v>
      </c>
      <c r="I266">
        <f t="shared" si="27"/>
        <v>5.5555555555555556E-4</v>
      </c>
      <c r="J266">
        <f t="shared" si="28"/>
        <v>0.70219115392232512</v>
      </c>
      <c r="K266">
        <f t="shared" si="29"/>
        <v>0.64108727954209077</v>
      </c>
    </row>
    <row r="267" spans="1:11" x14ac:dyDescent="0.35">
      <c r="A267" s="2" t="s">
        <v>6</v>
      </c>
      <c r="B267" s="2">
        <v>264</v>
      </c>
      <c r="C267" s="2">
        <v>264</v>
      </c>
      <c r="D267" s="14">
        <v>32.5</v>
      </c>
      <c r="E267" s="1">
        <f t="shared" si="24"/>
        <v>1.0277777777777781</v>
      </c>
      <c r="F267">
        <f t="shared" si="25"/>
        <v>545.78285949074086</v>
      </c>
      <c r="G267">
        <f t="shared" si="26"/>
        <v>302.4874649407368</v>
      </c>
      <c r="I267">
        <f t="shared" si="27"/>
        <v>5.5555555555555556E-4</v>
      </c>
      <c r="J267">
        <f t="shared" si="28"/>
        <v>0.75803174929269568</v>
      </c>
      <c r="K267">
        <f t="shared" si="29"/>
        <v>0.72596991585776838</v>
      </c>
    </row>
    <row r="268" spans="1:11" x14ac:dyDescent="0.35">
      <c r="A268" s="2" t="s">
        <v>6</v>
      </c>
      <c r="B268" s="2">
        <v>265</v>
      </c>
      <c r="C268" s="2">
        <v>265</v>
      </c>
      <c r="D268" s="14">
        <v>36.1</v>
      </c>
      <c r="E268" s="1">
        <f t="shared" si="24"/>
        <v>0.90277777777777779</v>
      </c>
      <c r="F268">
        <f t="shared" si="25"/>
        <v>491.12463482407406</v>
      </c>
      <c r="G268">
        <f t="shared" si="26"/>
        <v>335.99376874955686</v>
      </c>
      <c r="I268">
        <f t="shared" si="27"/>
        <v>5.5555555555555556E-4</v>
      </c>
      <c r="J268">
        <f t="shared" si="28"/>
        <v>0.68211754836676952</v>
      </c>
      <c r="K268">
        <f t="shared" si="29"/>
        <v>0.80638504499893648</v>
      </c>
    </row>
    <row r="269" spans="1:11" x14ac:dyDescent="0.35">
      <c r="A269" s="2" t="s">
        <v>6</v>
      </c>
      <c r="B269" s="2">
        <v>266</v>
      </c>
      <c r="C269" s="2">
        <v>266</v>
      </c>
      <c r="D269" s="14">
        <v>39</v>
      </c>
      <c r="E269" s="1">
        <f t="shared" si="24"/>
        <v>0.65277777777777712</v>
      </c>
      <c r="F269">
        <f t="shared" si="25"/>
        <v>379.18980833333308</v>
      </c>
      <c r="G269">
        <f t="shared" si="26"/>
        <v>362.98495792888411</v>
      </c>
      <c r="I269">
        <f t="shared" si="27"/>
        <v>5.5555555555555556E-4</v>
      </c>
      <c r="J269">
        <f t="shared" si="28"/>
        <v>0.52665251157407367</v>
      </c>
      <c r="K269">
        <f t="shared" si="29"/>
        <v>0.8711638990293219</v>
      </c>
    </row>
    <row r="270" spans="1:11" x14ac:dyDescent="0.35">
      <c r="A270" s="2" t="s">
        <v>6</v>
      </c>
      <c r="B270" s="2">
        <v>267</v>
      </c>
      <c r="C270" s="2">
        <v>267</v>
      </c>
      <c r="D270" s="14">
        <v>40.799999999999997</v>
      </c>
      <c r="E270" s="1">
        <f t="shared" si="24"/>
        <v>0.54166666666666641</v>
      </c>
      <c r="F270">
        <f t="shared" si="25"/>
        <v>329.88519466666656</v>
      </c>
      <c r="G270">
        <f t="shared" si="26"/>
        <v>379.73810983329417</v>
      </c>
      <c r="I270">
        <f t="shared" si="27"/>
        <v>5.5555555555555556E-4</v>
      </c>
      <c r="J270">
        <f t="shared" si="28"/>
        <v>0.45817388148148136</v>
      </c>
      <c r="K270">
        <f t="shared" si="29"/>
        <v>0.91137146359990595</v>
      </c>
    </row>
    <row r="271" spans="1:11" x14ac:dyDescent="0.35">
      <c r="A271" s="2" t="s">
        <v>6</v>
      </c>
      <c r="B271" s="2">
        <v>268</v>
      </c>
      <c r="C271" s="2">
        <v>268</v>
      </c>
      <c r="D271" s="14">
        <v>42.9</v>
      </c>
      <c r="E271" s="1">
        <f t="shared" si="24"/>
        <v>0.50000000000000022</v>
      </c>
      <c r="F271">
        <f t="shared" si="25"/>
        <v>312.5519174166667</v>
      </c>
      <c r="G271">
        <f t="shared" si="26"/>
        <v>399.28345372177256</v>
      </c>
      <c r="I271">
        <f t="shared" si="27"/>
        <v>5.5555555555555556E-4</v>
      </c>
      <c r="J271">
        <f t="shared" si="28"/>
        <v>0.43409988530092597</v>
      </c>
      <c r="K271">
        <f t="shared" si="29"/>
        <v>0.95828028893225414</v>
      </c>
    </row>
    <row r="272" spans="1:11" x14ac:dyDescent="0.35">
      <c r="A272" s="2" t="s">
        <v>6</v>
      </c>
      <c r="B272" s="2">
        <v>269</v>
      </c>
      <c r="C272" s="2">
        <v>269</v>
      </c>
      <c r="D272" s="14">
        <v>44.4</v>
      </c>
      <c r="E272" s="1">
        <f t="shared" si="24"/>
        <v>0.41666666666666663</v>
      </c>
      <c r="F272">
        <f t="shared" si="25"/>
        <v>275.7936386666666</v>
      </c>
      <c r="G272">
        <f t="shared" si="26"/>
        <v>413.24441364211424</v>
      </c>
      <c r="I272">
        <f t="shared" si="27"/>
        <v>5.5555555555555556E-4</v>
      </c>
      <c r="J272">
        <f t="shared" si="28"/>
        <v>0.3830467203703703</v>
      </c>
      <c r="K272">
        <f t="shared" si="29"/>
        <v>0.99178659274107428</v>
      </c>
    </row>
    <row r="273" spans="1:11" x14ac:dyDescent="0.35">
      <c r="A273" s="2" t="s">
        <v>6</v>
      </c>
      <c r="B273" s="2">
        <v>270</v>
      </c>
      <c r="C273" s="2">
        <v>270</v>
      </c>
      <c r="D273" s="14">
        <v>45.9</v>
      </c>
      <c r="E273" s="1">
        <f t="shared" si="24"/>
        <v>0.2222222222222224</v>
      </c>
      <c r="F273">
        <f t="shared" si="25"/>
        <v>188.41136408333338</v>
      </c>
      <c r="G273">
        <f t="shared" si="26"/>
        <v>427.20537356245592</v>
      </c>
      <c r="I273">
        <f t="shared" si="27"/>
        <v>5.5555555555555556E-4</v>
      </c>
      <c r="J273">
        <f t="shared" si="28"/>
        <v>0.26168245011574082</v>
      </c>
      <c r="K273">
        <f t="shared" si="29"/>
        <v>1.0252928965498942</v>
      </c>
    </row>
    <row r="274" spans="1:11" x14ac:dyDescent="0.35">
      <c r="A274" s="2" t="s">
        <v>6</v>
      </c>
      <c r="B274" s="2">
        <v>271</v>
      </c>
      <c r="C274" s="2">
        <v>271</v>
      </c>
      <c r="D274" s="14">
        <v>46</v>
      </c>
      <c r="E274" s="1">
        <f t="shared" si="24"/>
        <v>-4.1666666666666269E-2</v>
      </c>
      <c r="F274">
        <f t="shared" si="25"/>
        <v>68.165174074074244</v>
      </c>
      <c r="G274">
        <f t="shared" si="26"/>
        <v>428.13610422381208</v>
      </c>
      <c r="I274">
        <f t="shared" si="27"/>
        <v>5.5555555555555556E-4</v>
      </c>
      <c r="J274">
        <f t="shared" si="28"/>
        <v>9.4673852880658674E-2</v>
      </c>
      <c r="K274">
        <f t="shared" si="29"/>
        <v>1.0275266501371489</v>
      </c>
    </row>
    <row r="275" spans="1:11" x14ac:dyDescent="0.35">
      <c r="A275" s="2" t="s">
        <v>6</v>
      </c>
      <c r="B275" s="2">
        <v>272</v>
      </c>
      <c r="C275" s="2">
        <v>272</v>
      </c>
      <c r="D275" s="14">
        <v>45.6</v>
      </c>
      <c r="E275" s="1">
        <f t="shared" si="24"/>
        <v>-9.7222222222222612E-2</v>
      </c>
      <c r="F275">
        <f t="shared" si="25"/>
        <v>42.48440533333315</v>
      </c>
      <c r="G275">
        <f t="shared" si="26"/>
        <v>424.41318157838759</v>
      </c>
      <c r="I275">
        <f t="shared" si="27"/>
        <v>5.5555555555555556E-4</v>
      </c>
      <c r="J275">
        <f t="shared" si="28"/>
        <v>5.9006118518518266E-2</v>
      </c>
      <c r="K275">
        <f t="shared" si="29"/>
        <v>1.0185916357881304</v>
      </c>
    </row>
    <row r="276" spans="1:11" x14ac:dyDescent="0.35">
      <c r="A276" s="2" t="s">
        <v>6</v>
      </c>
      <c r="B276" s="2">
        <v>273</v>
      </c>
      <c r="C276" s="2">
        <v>273</v>
      </c>
      <c r="D276" s="14">
        <v>45.3</v>
      </c>
      <c r="E276" s="1">
        <f t="shared" si="24"/>
        <v>-0.26388888888888867</v>
      </c>
      <c r="F276">
        <f t="shared" si="25"/>
        <v>0</v>
      </c>
      <c r="G276">
        <f t="shared" si="26"/>
        <v>421.62098959431927</v>
      </c>
      <c r="I276">
        <f t="shared" si="27"/>
        <v>5.5555555555555556E-4</v>
      </c>
      <c r="J276">
        <f t="shared" si="28"/>
        <v>0</v>
      </c>
      <c r="K276">
        <f t="shared" si="29"/>
        <v>1.0118903750263661</v>
      </c>
    </row>
    <row r="277" spans="1:11" x14ac:dyDescent="0.35">
      <c r="A277" s="2" t="s">
        <v>6</v>
      </c>
      <c r="B277" s="2">
        <v>274</v>
      </c>
      <c r="C277" s="2">
        <v>274</v>
      </c>
      <c r="D277" s="14">
        <v>43.7</v>
      </c>
      <c r="E277" s="1">
        <f t="shared" si="24"/>
        <v>-0.625</v>
      </c>
      <c r="F277">
        <f t="shared" si="25"/>
        <v>0</v>
      </c>
      <c r="G277">
        <f t="shared" si="26"/>
        <v>406.72929901262148</v>
      </c>
      <c r="I277">
        <f t="shared" si="27"/>
        <v>5.5555555555555556E-4</v>
      </c>
      <c r="J277">
        <f t="shared" si="28"/>
        <v>0</v>
      </c>
      <c r="K277">
        <f t="shared" si="29"/>
        <v>0.97615031763029159</v>
      </c>
    </row>
    <row r="278" spans="1:11" x14ac:dyDescent="0.35">
      <c r="A278" s="2" t="s">
        <v>6</v>
      </c>
      <c r="B278" s="2">
        <v>275</v>
      </c>
      <c r="C278" s="2">
        <v>275</v>
      </c>
      <c r="D278" s="14">
        <v>40.799999999999997</v>
      </c>
      <c r="E278" s="1">
        <f t="shared" si="24"/>
        <v>-0.79166666666666707</v>
      </c>
      <c r="F278">
        <f t="shared" si="25"/>
        <v>0</v>
      </c>
      <c r="G278">
        <f t="shared" si="26"/>
        <v>379.73810983329417</v>
      </c>
      <c r="I278">
        <f t="shared" si="27"/>
        <v>5.5555555555555556E-4</v>
      </c>
      <c r="J278">
        <f t="shared" si="28"/>
        <v>0</v>
      </c>
      <c r="K278">
        <f t="shared" si="29"/>
        <v>0.91137146359990595</v>
      </c>
    </row>
    <row r="279" spans="1:11" x14ac:dyDescent="0.35">
      <c r="A279" s="2" t="s">
        <v>6</v>
      </c>
      <c r="B279" s="2">
        <v>276</v>
      </c>
      <c r="C279" s="2">
        <v>276</v>
      </c>
      <c r="D279" s="14">
        <v>38</v>
      </c>
      <c r="E279" s="1">
        <f t="shared" si="24"/>
        <v>-0.88888888888888862</v>
      </c>
      <c r="F279">
        <f t="shared" si="25"/>
        <v>0</v>
      </c>
      <c r="G279">
        <f t="shared" si="26"/>
        <v>353.67765131532298</v>
      </c>
      <c r="I279">
        <f t="shared" si="27"/>
        <v>5.5555555555555556E-4</v>
      </c>
      <c r="J279">
        <f t="shared" si="28"/>
        <v>0</v>
      </c>
      <c r="K279">
        <f t="shared" si="29"/>
        <v>0.84882636315677518</v>
      </c>
    </row>
    <row r="280" spans="1:11" x14ac:dyDescent="0.35">
      <c r="A280" s="2" t="s">
        <v>6</v>
      </c>
      <c r="B280" s="2">
        <v>277</v>
      </c>
      <c r="C280" s="2">
        <v>277</v>
      </c>
      <c r="D280" s="14">
        <v>34.4</v>
      </c>
      <c r="E280" s="1">
        <f t="shared" si="24"/>
        <v>-0.98611111111111127</v>
      </c>
      <c r="F280">
        <f t="shared" si="25"/>
        <v>0</v>
      </c>
      <c r="G280">
        <f t="shared" si="26"/>
        <v>320.17134750650291</v>
      </c>
      <c r="I280">
        <f t="shared" si="27"/>
        <v>5.5555555555555556E-4</v>
      </c>
      <c r="J280">
        <f t="shared" si="28"/>
        <v>0</v>
      </c>
      <c r="K280">
        <f t="shared" si="29"/>
        <v>0.76841123401560707</v>
      </c>
    </row>
    <row r="281" spans="1:11" x14ac:dyDescent="0.35">
      <c r="A281" s="2" t="s">
        <v>6</v>
      </c>
      <c r="B281" s="2">
        <v>278</v>
      </c>
      <c r="C281" s="2">
        <v>278</v>
      </c>
      <c r="D281" s="14">
        <v>30.9</v>
      </c>
      <c r="E281" s="1">
        <f t="shared" si="24"/>
        <v>-1.2361111111111109</v>
      </c>
      <c r="F281">
        <f t="shared" si="25"/>
        <v>0</v>
      </c>
      <c r="G281">
        <f t="shared" si="26"/>
        <v>287.59577435903896</v>
      </c>
      <c r="I281">
        <f t="shared" si="27"/>
        <v>5.5555555555555556E-4</v>
      </c>
      <c r="J281">
        <f t="shared" si="28"/>
        <v>0</v>
      </c>
      <c r="K281">
        <f t="shared" si="29"/>
        <v>0.69022985846169349</v>
      </c>
    </row>
    <row r="282" spans="1:11" x14ac:dyDescent="0.35">
      <c r="A282" s="2" t="s">
        <v>6</v>
      </c>
      <c r="B282" s="2">
        <v>279</v>
      </c>
      <c r="C282" s="2">
        <v>279</v>
      </c>
      <c r="D282" s="14">
        <v>25.5</v>
      </c>
      <c r="E282" s="1">
        <f t="shared" si="24"/>
        <v>-1.3194444444444444</v>
      </c>
      <c r="F282">
        <f t="shared" si="25"/>
        <v>0</v>
      </c>
      <c r="G282">
        <f t="shared" si="26"/>
        <v>237.33631864580886</v>
      </c>
      <c r="I282">
        <f t="shared" si="27"/>
        <v>5.5555555555555556E-4</v>
      </c>
      <c r="J282">
        <f t="shared" si="28"/>
        <v>0</v>
      </c>
      <c r="K282">
        <f t="shared" si="29"/>
        <v>0.56960716474994133</v>
      </c>
    </row>
    <row r="283" spans="1:11" x14ac:dyDescent="0.35">
      <c r="A283" s="2" t="s">
        <v>6</v>
      </c>
      <c r="B283" s="2">
        <v>280</v>
      </c>
      <c r="C283" s="2">
        <v>280</v>
      </c>
      <c r="D283" s="14">
        <v>21.4</v>
      </c>
      <c r="E283" s="1">
        <f t="shared" si="24"/>
        <v>-0.73611111111111116</v>
      </c>
      <c r="F283">
        <f t="shared" si="25"/>
        <v>0</v>
      </c>
      <c r="G283">
        <f t="shared" si="26"/>
        <v>199.17636153020823</v>
      </c>
      <c r="I283">
        <f t="shared" si="27"/>
        <v>5.5555555555555556E-4</v>
      </c>
      <c r="J283">
        <f t="shared" si="28"/>
        <v>0</v>
      </c>
      <c r="K283">
        <f t="shared" si="29"/>
        <v>0.47802326767249975</v>
      </c>
    </row>
    <row r="284" spans="1:11" x14ac:dyDescent="0.35">
      <c r="A284" s="2" t="s">
        <v>6</v>
      </c>
      <c r="B284" s="2">
        <v>281</v>
      </c>
      <c r="C284" s="2">
        <v>281</v>
      </c>
      <c r="D284" s="14">
        <v>20.2</v>
      </c>
      <c r="E284" s="1">
        <f t="shared" si="24"/>
        <v>0.20833333333333331</v>
      </c>
      <c r="F284">
        <f t="shared" si="25"/>
        <v>165.96960151851852</v>
      </c>
      <c r="G284">
        <f t="shared" si="26"/>
        <v>188.00759359393487</v>
      </c>
      <c r="I284">
        <f t="shared" si="27"/>
        <v>5.5555555555555556E-4</v>
      </c>
      <c r="J284">
        <f t="shared" si="28"/>
        <v>0.23051333544238684</v>
      </c>
      <c r="K284">
        <f t="shared" si="29"/>
        <v>0.4512182246254437</v>
      </c>
    </row>
    <row r="285" spans="1:11" x14ac:dyDescent="0.35">
      <c r="A285" s="2" t="s">
        <v>6</v>
      </c>
      <c r="B285" s="2">
        <v>282</v>
      </c>
      <c r="C285" s="2">
        <v>282</v>
      </c>
      <c r="D285" s="14">
        <v>22.9</v>
      </c>
      <c r="E285" s="1">
        <f t="shared" si="24"/>
        <v>0.88888888888888917</v>
      </c>
      <c r="F285">
        <f t="shared" si="25"/>
        <v>477.40640260185199</v>
      </c>
      <c r="G285">
        <f t="shared" si="26"/>
        <v>213.1373214505499</v>
      </c>
      <c r="I285">
        <f t="shared" si="27"/>
        <v>5.5555555555555556E-4</v>
      </c>
      <c r="J285">
        <f t="shared" si="28"/>
        <v>0.66306444805812781</v>
      </c>
      <c r="K285">
        <f t="shared" si="29"/>
        <v>0.51152957148131983</v>
      </c>
    </row>
    <row r="286" spans="1:11" x14ac:dyDescent="0.35">
      <c r="A286" s="2" t="s">
        <v>6</v>
      </c>
      <c r="B286" s="2">
        <v>283</v>
      </c>
      <c r="C286" s="2">
        <v>283</v>
      </c>
      <c r="D286" s="14">
        <v>26.6</v>
      </c>
      <c r="E286" s="1">
        <f t="shared" si="24"/>
        <v>1.0138888888888891</v>
      </c>
      <c r="F286">
        <f t="shared" si="25"/>
        <v>536.1431055185185</v>
      </c>
      <c r="G286">
        <f t="shared" si="26"/>
        <v>247.57435592072611</v>
      </c>
      <c r="I286">
        <f t="shared" si="27"/>
        <v>5.5555555555555556E-4</v>
      </c>
      <c r="J286">
        <f t="shared" si="28"/>
        <v>0.74464320210905344</v>
      </c>
      <c r="K286">
        <f t="shared" si="29"/>
        <v>0.59417845420974269</v>
      </c>
    </row>
    <row r="287" spans="1:11" x14ac:dyDescent="0.35">
      <c r="A287" s="2" t="s">
        <v>6</v>
      </c>
      <c r="B287" s="2">
        <v>284</v>
      </c>
      <c r="C287" s="2">
        <v>284</v>
      </c>
      <c r="D287" s="14">
        <v>30.2</v>
      </c>
      <c r="E287" s="1">
        <f t="shared" si="24"/>
        <v>1.0416666666666667</v>
      </c>
      <c r="F287">
        <f t="shared" si="25"/>
        <v>550.74873485185185</v>
      </c>
      <c r="G287">
        <f t="shared" si="26"/>
        <v>281.0806597295462</v>
      </c>
      <c r="I287">
        <f t="shared" si="27"/>
        <v>5.5555555555555556E-4</v>
      </c>
      <c r="J287">
        <f t="shared" si="28"/>
        <v>0.76492879840534977</v>
      </c>
      <c r="K287">
        <f t="shared" si="29"/>
        <v>0.67459358335091091</v>
      </c>
    </row>
    <row r="288" spans="1:11" x14ac:dyDescent="0.35">
      <c r="A288" s="2" t="s">
        <v>6</v>
      </c>
      <c r="B288" s="2">
        <v>285</v>
      </c>
      <c r="C288" s="2">
        <v>285</v>
      </c>
      <c r="D288" s="14">
        <v>34.1</v>
      </c>
      <c r="E288" s="1">
        <f t="shared" si="24"/>
        <v>0.99999999999999989</v>
      </c>
      <c r="F288">
        <f t="shared" si="25"/>
        <v>534.12663815740734</v>
      </c>
      <c r="G288">
        <f t="shared" si="26"/>
        <v>317.37915552243459</v>
      </c>
      <c r="I288">
        <f t="shared" si="27"/>
        <v>5.5555555555555556E-4</v>
      </c>
      <c r="J288">
        <f t="shared" si="28"/>
        <v>0.74184255299639912</v>
      </c>
      <c r="K288">
        <f t="shared" si="29"/>
        <v>0.76170997325384304</v>
      </c>
    </row>
    <row r="289" spans="1:11" x14ac:dyDescent="0.35">
      <c r="A289" s="2" t="s">
        <v>6</v>
      </c>
      <c r="B289" s="2">
        <v>286</v>
      </c>
      <c r="C289" s="2">
        <v>286</v>
      </c>
      <c r="D289" s="14">
        <v>37.4</v>
      </c>
      <c r="E289" s="1">
        <f t="shared" si="24"/>
        <v>0.91666666666666685</v>
      </c>
      <c r="F289">
        <f t="shared" si="25"/>
        <v>498.36401218518529</v>
      </c>
      <c r="G289">
        <f t="shared" si="26"/>
        <v>348.09326734718633</v>
      </c>
      <c r="I289">
        <f t="shared" si="27"/>
        <v>5.5555555555555556E-4</v>
      </c>
      <c r="J289">
        <f t="shared" si="28"/>
        <v>0.69217223914609072</v>
      </c>
      <c r="K289">
        <f t="shared" si="29"/>
        <v>0.83542384163324712</v>
      </c>
    </row>
    <row r="290" spans="1:11" x14ac:dyDescent="0.35">
      <c r="A290" s="2" t="s">
        <v>6</v>
      </c>
      <c r="B290" s="2">
        <v>287</v>
      </c>
      <c r="C290" s="2">
        <v>287</v>
      </c>
      <c r="D290" s="14">
        <v>40.700000000000003</v>
      </c>
      <c r="E290" s="1">
        <f t="shared" si="24"/>
        <v>0.91666666666666685</v>
      </c>
      <c r="F290">
        <f t="shared" si="25"/>
        <v>500.80791304629639</v>
      </c>
      <c r="G290">
        <f t="shared" si="26"/>
        <v>378.80737917193807</v>
      </c>
      <c r="I290">
        <f t="shared" si="27"/>
        <v>5.5555555555555556E-4</v>
      </c>
      <c r="J290">
        <f t="shared" si="28"/>
        <v>0.69556654589763389</v>
      </c>
      <c r="K290">
        <f t="shared" si="29"/>
        <v>0.90913771001265131</v>
      </c>
    </row>
    <row r="291" spans="1:11" x14ac:dyDescent="0.35">
      <c r="A291" s="2" t="s">
        <v>6</v>
      </c>
      <c r="B291" s="2">
        <v>288</v>
      </c>
      <c r="C291" s="2">
        <v>288</v>
      </c>
      <c r="D291" s="14">
        <v>44</v>
      </c>
      <c r="E291" s="1">
        <f t="shared" si="24"/>
        <v>0.91666666666666585</v>
      </c>
      <c r="F291">
        <f t="shared" si="25"/>
        <v>503.45834074074037</v>
      </c>
      <c r="G291">
        <f t="shared" si="26"/>
        <v>409.52149099668981</v>
      </c>
      <c r="I291">
        <f t="shared" si="27"/>
        <v>5.5555555555555556E-4</v>
      </c>
      <c r="J291">
        <f t="shared" si="28"/>
        <v>0.6992476954732505</v>
      </c>
      <c r="K291">
        <f t="shared" si="29"/>
        <v>0.9828515783920555</v>
      </c>
    </row>
    <row r="292" spans="1:11" x14ac:dyDescent="0.35">
      <c r="A292" s="2" t="s">
        <v>6</v>
      </c>
      <c r="B292" s="2">
        <v>289</v>
      </c>
      <c r="C292" s="2">
        <v>289</v>
      </c>
      <c r="D292" s="14">
        <v>47.3</v>
      </c>
      <c r="E292" s="1">
        <f t="shared" si="24"/>
        <v>0.72222222222222265</v>
      </c>
      <c r="F292">
        <f t="shared" si="25"/>
        <v>417.64862860185201</v>
      </c>
      <c r="G292">
        <f t="shared" si="26"/>
        <v>440.23560282144155</v>
      </c>
      <c r="I292">
        <f t="shared" si="27"/>
        <v>5.5555555555555556E-4</v>
      </c>
      <c r="J292">
        <f t="shared" si="28"/>
        <v>0.58006753972479441</v>
      </c>
      <c r="K292">
        <f t="shared" si="29"/>
        <v>1.0565654467714598</v>
      </c>
    </row>
    <row r="293" spans="1:11" x14ac:dyDescent="0.35">
      <c r="A293" s="2" t="s">
        <v>6</v>
      </c>
      <c r="B293" s="2">
        <v>290</v>
      </c>
      <c r="C293" s="2">
        <v>290</v>
      </c>
      <c r="D293" s="14">
        <v>49.2</v>
      </c>
      <c r="E293" s="1">
        <f t="shared" si="24"/>
        <v>0.34722222222222221</v>
      </c>
      <c r="F293">
        <f t="shared" si="25"/>
        <v>248.38722799999996</v>
      </c>
      <c r="G293">
        <f t="shared" si="26"/>
        <v>457.91948538720766</v>
      </c>
      <c r="I293">
        <f t="shared" si="27"/>
        <v>5.5555555555555556E-4</v>
      </c>
      <c r="J293">
        <f t="shared" si="28"/>
        <v>0.34498226111111108</v>
      </c>
      <c r="K293">
        <f t="shared" si="29"/>
        <v>1.0990067649292985</v>
      </c>
    </row>
    <row r="294" spans="1:11" x14ac:dyDescent="0.35">
      <c r="A294" s="2" t="s">
        <v>6</v>
      </c>
      <c r="B294" s="2">
        <v>291</v>
      </c>
      <c r="C294" s="2">
        <v>291</v>
      </c>
      <c r="D294" s="14">
        <v>49.8</v>
      </c>
      <c r="E294" s="1">
        <f t="shared" si="24"/>
        <v>0</v>
      </c>
      <c r="F294">
        <f t="shared" si="25"/>
        <v>90.617149666666648</v>
      </c>
      <c r="G294">
        <f t="shared" si="26"/>
        <v>463.50386935534436</v>
      </c>
      <c r="I294">
        <f t="shared" si="27"/>
        <v>5.5555555555555556E-4</v>
      </c>
      <c r="J294">
        <f t="shared" si="28"/>
        <v>0.12585715231481479</v>
      </c>
      <c r="K294">
        <f t="shared" si="29"/>
        <v>1.1124092864528266</v>
      </c>
    </row>
    <row r="295" spans="1:11" x14ac:dyDescent="0.35">
      <c r="A295" s="2" t="s">
        <v>6</v>
      </c>
      <c r="B295" s="2">
        <v>292</v>
      </c>
      <c r="C295" s="2">
        <v>292</v>
      </c>
      <c r="D295" s="14">
        <v>49.2</v>
      </c>
      <c r="E295" s="1">
        <f t="shared" si="24"/>
        <v>-0.23611111111111052</v>
      </c>
      <c r="F295">
        <f t="shared" si="25"/>
        <v>0</v>
      </c>
      <c r="G295">
        <f t="shared" si="26"/>
        <v>457.91948538720766</v>
      </c>
      <c r="I295">
        <f t="shared" si="27"/>
        <v>5.5555555555555556E-4</v>
      </c>
      <c r="J295">
        <f t="shared" si="28"/>
        <v>0</v>
      </c>
      <c r="K295">
        <f t="shared" si="29"/>
        <v>1.0990067649292985</v>
      </c>
    </row>
    <row r="296" spans="1:11" x14ac:dyDescent="0.35">
      <c r="A296" s="2" t="s">
        <v>6</v>
      </c>
      <c r="B296" s="2">
        <v>293</v>
      </c>
      <c r="C296" s="2">
        <v>293</v>
      </c>
      <c r="D296" s="14">
        <v>48.1</v>
      </c>
      <c r="E296" s="1">
        <f t="shared" si="24"/>
        <v>-0.26388888888888967</v>
      </c>
      <c r="F296">
        <f t="shared" si="25"/>
        <v>0</v>
      </c>
      <c r="G296">
        <f t="shared" si="26"/>
        <v>447.68144811229041</v>
      </c>
      <c r="I296">
        <f t="shared" si="27"/>
        <v>5.5555555555555556E-4</v>
      </c>
      <c r="J296">
        <f t="shared" si="28"/>
        <v>0</v>
      </c>
      <c r="K296">
        <f t="shared" si="29"/>
        <v>1.0744354754694969</v>
      </c>
    </row>
    <row r="297" spans="1:11" x14ac:dyDescent="0.35">
      <c r="A297" s="2" t="s">
        <v>6</v>
      </c>
      <c r="B297" s="2">
        <v>294</v>
      </c>
      <c r="C297" s="2">
        <v>294</v>
      </c>
      <c r="D297" s="14">
        <v>47.3</v>
      </c>
      <c r="E297" s="1">
        <f t="shared" si="24"/>
        <v>-0.18055555555555614</v>
      </c>
      <c r="F297">
        <f t="shared" si="25"/>
        <v>5.9819619351849163</v>
      </c>
      <c r="G297">
        <f t="shared" si="26"/>
        <v>440.23560282144155</v>
      </c>
      <c r="I297">
        <f t="shared" si="27"/>
        <v>5.5555555555555556E-4</v>
      </c>
      <c r="J297">
        <f t="shared" si="28"/>
        <v>8.3082804655346051E-3</v>
      </c>
      <c r="K297">
        <f t="shared" si="29"/>
        <v>1.0565654467714598</v>
      </c>
    </row>
    <row r="298" spans="1:11" x14ac:dyDescent="0.35">
      <c r="A298" s="2" t="s">
        <v>6</v>
      </c>
      <c r="B298" s="2">
        <v>295</v>
      </c>
      <c r="C298" s="2">
        <v>295</v>
      </c>
      <c r="D298" s="14">
        <v>46.8</v>
      </c>
      <c r="E298" s="1">
        <f t="shared" si="24"/>
        <v>-8.3333333333332538E-2</v>
      </c>
      <c r="F298">
        <f t="shared" si="25"/>
        <v>49.869148000000351</v>
      </c>
      <c r="G298">
        <f t="shared" si="26"/>
        <v>435.58194951466095</v>
      </c>
      <c r="I298">
        <f t="shared" si="27"/>
        <v>5.5555555555555556E-4</v>
      </c>
      <c r="J298">
        <f t="shared" si="28"/>
        <v>6.9262705555556039E-2</v>
      </c>
      <c r="K298">
        <f t="shared" si="29"/>
        <v>1.0453966788351863</v>
      </c>
    </row>
    <row r="299" spans="1:11" x14ac:dyDescent="0.35">
      <c r="A299" s="2" t="s">
        <v>6</v>
      </c>
      <c r="B299" s="2">
        <v>296</v>
      </c>
      <c r="C299" s="2">
        <v>296</v>
      </c>
      <c r="D299" s="14">
        <v>46.7</v>
      </c>
      <c r="E299" s="1">
        <f t="shared" si="24"/>
        <v>0</v>
      </c>
      <c r="F299">
        <f t="shared" si="25"/>
        <v>87.78048749074074</v>
      </c>
      <c r="G299">
        <f t="shared" si="26"/>
        <v>434.65121885330484</v>
      </c>
      <c r="I299">
        <f t="shared" si="27"/>
        <v>5.5555555555555556E-4</v>
      </c>
      <c r="J299">
        <f t="shared" si="28"/>
        <v>0.12191734373713992</v>
      </c>
      <c r="K299">
        <f t="shared" si="29"/>
        <v>1.0431629252479317</v>
      </c>
    </row>
    <row r="300" spans="1:11" x14ac:dyDescent="0.35">
      <c r="A300" s="2" t="s">
        <v>6</v>
      </c>
      <c r="B300" s="2">
        <v>297</v>
      </c>
      <c r="C300" s="2">
        <v>297</v>
      </c>
      <c r="D300" s="14">
        <v>46.8</v>
      </c>
      <c r="E300" s="1">
        <f t="shared" si="24"/>
        <v>5.5555555555555358E-2</v>
      </c>
      <c r="F300">
        <f t="shared" si="25"/>
        <v>113.20248133333322</v>
      </c>
      <c r="G300">
        <f t="shared" si="26"/>
        <v>435.58194951466095</v>
      </c>
      <c r="I300">
        <f t="shared" si="27"/>
        <v>5.5555555555555556E-4</v>
      </c>
      <c r="J300">
        <f t="shared" si="28"/>
        <v>0.15722566851851838</v>
      </c>
      <c r="K300">
        <f t="shared" si="29"/>
        <v>1.0453966788351863</v>
      </c>
    </row>
    <row r="301" spans="1:11" x14ac:dyDescent="0.35">
      <c r="A301" s="2" t="s">
        <v>6</v>
      </c>
      <c r="B301" s="2">
        <v>298</v>
      </c>
      <c r="C301" s="2">
        <v>298</v>
      </c>
      <c r="D301" s="14">
        <v>47.1</v>
      </c>
      <c r="E301" s="1">
        <f t="shared" si="24"/>
        <v>6.9444444444444448E-2</v>
      </c>
      <c r="F301">
        <f t="shared" si="25"/>
        <v>119.80293408333333</v>
      </c>
      <c r="G301">
        <f t="shared" si="26"/>
        <v>438.37414149872933</v>
      </c>
      <c r="I301">
        <f t="shared" si="27"/>
        <v>5.5555555555555556E-4</v>
      </c>
      <c r="J301">
        <f t="shared" si="28"/>
        <v>0.16639296400462961</v>
      </c>
      <c r="K301">
        <f t="shared" si="29"/>
        <v>1.0520979395969503</v>
      </c>
    </row>
    <row r="302" spans="1:11" x14ac:dyDescent="0.35">
      <c r="A302" s="2" t="s">
        <v>6</v>
      </c>
      <c r="B302" s="2">
        <v>299</v>
      </c>
      <c r="C302" s="2">
        <v>299</v>
      </c>
      <c r="D302" s="14">
        <v>47.3</v>
      </c>
      <c r="E302" s="1">
        <f t="shared" si="24"/>
        <v>2.7777777777777186E-2</v>
      </c>
      <c r="F302">
        <f t="shared" si="25"/>
        <v>100.98196193518491</v>
      </c>
      <c r="G302">
        <f t="shared" si="26"/>
        <v>440.23560282144155</v>
      </c>
      <c r="I302">
        <f t="shared" si="27"/>
        <v>5.5555555555555556E-4</v>
      </c>
      <c r="J302">
        <f t="shared" si="28"/>
        <v>0.14025272490997903</v>
      </c>
      <c r="K302">
        <f t="shared" si="29"/>
        <v>1.0565654467714598</v>
      </c>
    </row>
    <row r="303" spans="1:11" x14ac:dyDescent="0.35">
      <c r="A303" s="2" t="s">
        <v>6</v>
      </c>
      <c r="B303" s="2">
        <v>300</v>
      </c>
      <c r="C303" s="2">
        <v>300</v>
      </c>
      <c r="D303" s="14">
        <v>47.3</v>
      </c>
      <c r="E303" s="1">
        <f t="shared" si="24"/>
        <v>-2.7777777777777186E-2</v>
      </c>
      <c r="F303">
        <f t="shared" si="25"/>
        <v>75.648628601852124</v>
      </c>
      <c r="G303">
        <f t="shared" si="26"/>
        <v>440.23560282144155</v>
      </c>
      <c r="I303">
        <f t="shared" si="27"/>
        <v>5.5555555555555556E-4</v>
      </c>
      <c r="J303">
        <f t="shared" si="28"/>
        <v>0.10506753972479461</v>
      </c>
      <c r="K303">
        <f t="shared" si="29"/>
        <v>1.0565654467714598</v>
      </c>
    </row>
    <row r="304" spans="1:11" x14ac:dyDescent="0.35">
      <c r="A304" s="2" t="s">
        <v>6</v>
      </c>
      <c r="B304" s="2">
        <v>301</v>
      </c>
      <c r="C304" s="2">
        <v>301</v>
      </c>
      <c r="D304" s="14">
        <v>47.1</v>
      </c>
      <c r="E304" s="1">
        <f t="shared" si="24"/>
        <v>-9.7222222222221627E-2</v>
      </c>
      <c r="F304">
        <f t="shared" si="25"/>
        <v>43.802934083333597</v>
      </c>
      <c r="G304">
        <f t="shared" si="26"/>
        <v>438.37414149872933</v>
      </c>
      <c r="I304">
        <f t="shared" si="27"/>
        <v>5.5555555555555556E-4</v>
      </c>
      <c r="J304">
        <f t="shared" si="28"/>
        <v>6.083740844907444E-2</v>
      </c>
      <c r="K304">
        <f t="shared" si="29"/>
        <v>1.0520979395969503</v>
      </c>
    </row>
    <row r="305" spans="1:11" x14ac:dyDescent="0.35">
      <c r="A305" s="2" t="s">
        <v>6</v>
      </c>
      <c r="B305" s="2">
        <v>302</v>
      </c>
      <c r="C305" s="2">
        <v>302</v>
      </c>
      <c r="D305" s="14">
        <v>46.6</v>
      </c>
      <c r="E305" s="1">
        <f t="shared" si="24"/>
        <v>-0.18055555555555614</v>
      </c>
      <c r="F305">
        <f t="shared" si="25"/>
        <v>5.3586832962960331</v>
      </c>
      <c r="G305">
        <f t="shared" si="26"/>
        <v>433.72048819194873</v>
      </c>
      <c r="I305">
        <f t="shared" si="27"/>
        <v>5.5555555555555556E-4</v>
      </c>
      <c r="J305">
        <f t="shared" si="28"/>
        <v>7.4426156893000464E-3</v>
      </c>
      <c r="K305">
        <f t="shared" si="29"/>
        <v>1.040929171660677</v>
      </c>
    </row>
    <row r="306" spans="1:11" x14ac:dyDescent="0.35">
      <c r="A306" s="2" t="s">
        <v>6</v>
      </c>
      <c r="B306" s="2">
        <v>303</v>
      </c>
      <c r="C306" s="2">
        <v>303</v>
      </c>
      <c r="D306" s="14">
        <v>45.8</v>
      </c>
      <c r="E306" s="1">
        <f t="shared" si="24"/>
        <v>-0.25000000000000061</v>
      </c>
      <c r="F306">
        <f t="shared" si="25"/>
        <v>0</v>
      </c>
      <c r="G306">
        <f t="shared" si="26"/>
        <v>426.27464290109981</v>
      </c>
      <c r="I306">
        <f t="shared" si="27"/>
        <v>5.5555555555555556E-4</v>
      </c>
      <c r="J306">
        <f t="shared" si="28"/>
        <v>0</v>
      </c>
      <c r="K306">
        <f t="shared" si="29"/>
        <v>1.0230591429626397</v>
      </c>
    </row>
    <row r="307" spans="1:11" x14ac:dyDescent="0.35">
      <c r="A307" s="2" t="s">
        <v>6</v>
      </c>
      <c r="B307" s="2">
        <v>304</v>
      </c>
      <c r="C307" s="2">
        <v>304</v>
      </c>
      <c r="D307" s="14">
        <v>44.8</v>
      </c>
      <c r="E307" s="1">
        <f t="shared" si="24"/>
        <v>-0.34722222222222221</v>
      </c>
      <c r="F307">
        <f t="shared" si="25"/>
        <v>0</v>
      </c>
      <c r="G307">
        <f t="shared" si="26"/>
        <v>416.96733628753867</v>
      </c>
      <c r="I307">
        <f t="shared" si="27"/>
        <v>5.5555555555555556E-4</v>
      </c>
      <c r="J307">
        <f t="shared" si="28"/>
        <v>0</v>
      </c>
      <c r="K307">
        <f t="shared" si="29"/>
        <v>1.0007216070900928</v>
      </c>
    </row>
    <row r="308" spans="1:11" x14ac:dyDescent="0.35">
      <c r="A308" s="2" t="s">
        <v>6</v>
      </c>
      <c r="B308" s="2">
        <v>305</v>
      </c>
      <c r="C308" s="2">
        <v>305</v>
      </c>
      <c r="D308" s="14">
        <v>43.3</v>
      </c>
      <c r="E308" s="1">
        <f t="shared" si="24"/>
        <v>-0.41666666666666663</v>
      </c>
      <c r="F308">
        <f t="shared" si="25"/>
        <v>0</v>
      </c>
      <c r="G308">
        <f t="shared" si="26"/>
        <v>403.00637636719699</v>
      </c>
      <c r="I308">
        <f t="shared" si="27"/>
        <v>5.5555555555555556E-4</v>
      </c>
      <c r="J308">
        <f t="shared" si="28"/>
        <v>0</v>
      </c>
      <c r="K308">
        <f t="shared" si="29"/>
        <v>0.96721530328127281</v>
      </c>
    </row>
    <row r="309" spans="1:11" x14ac:dyDescent="0.35">
      <c r="A309" s="2" t="s">
        <v>6</v>
      </c>
      <c r="B309" s="2">
        <v>306</v>
      </c>
      <c r="C309" s="2">
        <v>306</v>
      </c>
      <c r="D309" s="14">
        <v>41.8</v>
      </c>
      <c r="E309" s="1">
        <f t="shared" si="24"/>
        <v>-0.34722222222222221</v>
      </c>
      <c r="F309">
        <f t="shared" si="25"/>
        <v>0</v>
      </c>
      <c r="G309">
        <f t="shared" si="26"/>
        <v>389.04541644685531</v>
      </c>
      <c r="I309">
        <f t="shared" si="27"/>
        <v>5.5555555555555556E-4</v>
      </c>
      <c r="J309">
        <f t="shared" si="28"/>
        <v>0</v>
      </c>
      <c r="K309">
        <f t="shared" si="29"/>
        <v>0.93370899947245278</v>
      </c>
    </row>
    <row r="310" spans="1:11" x14ac:dyDescent="0.35">
      <c r="A310" s="2" t="s">
        <v>6</v>
      </c>
      <c r="B310" s="2">
        <v>307</v>
      </c>
      <c r="C310" s="2">
        <v>307</v>
      </c>
      <c r="D310" s="14">
        <v>40.799999999999997</v>
      </c>
      <c r="E310" s="1">
        <f t="shared" si="24"/>
        <v>-0.20833333333333331</v>
      </c>
      <c r="F310">
        <f t="shared" si="25"/>
        <v>0</v>
      </c>
      <c r="G310">
        <f t="shared" si="26"/>
        <v>379.73810983329417</v>
      </c>
      <c r="I310">
        <f t="shared" si="27"/>
        <v>5.5555555555555556E-4</v>
      </c>
      <c r="J310">
        <f t="shared" si="28"/>
        <v>0</v>
      </c>
      <c r="K310">
        <f t="shared" si="29"/>
        <v>0.91137146359990595</v>
      </c>
    </row>
    <row r="311" spans="1:11" x14ac:dyDescent="0.35">
      <c r="A311" s="2" t="s">
        <v>6</v>
      </c>
      <c r="B311" s="2">
        <v>308</v>
      </c>
      <c r="C311" s="2">
        <v>308</v>
      </c>
      <c r="D311" s="14">
        <v>40.299999999999997</v>
      </c>
      <c r="E311" s="1">
        <f t="shared" si="24"/>
        <v>-9.7222222222221627E-2</v>
      </c>
      <c r="F311">
        <f t="shared" si="25"/>
        <v>38.167349712963222</v>
      </c>
      <c r="G311">
        <f t="shared" si="26"/>
        <v>375.08445652651363</v>
      </c>
      <c r="I311">
        <f t="shared" si="27"/>
        <v>5.5555555555555556E-4</v>
      </c>
      <c r="J311">
        <f t="shared" si="28"/>
        <v>5.3010207934671143E-2</v>
      </c>
      <c r="K311">
        <f t="shared" si="29"/>
        <v>0.90020269566363276</v>
      </c>
    </row>
    <row r="312" spans="1:11" x14ac:dyDescent="0.35">
      <c r="A312" s="2" t="s">
        <v>6</v>
      </c>
      <c r="B312" s="2">
        <v>309</v>
      </c>
      <c r="C312" s="2">
        <v>309</v>
      </c>
      <c r="D312" s="14">
        <v>40.1</v>
      </c>
      <c r="E312" s="1">
        <f t="shared" si="24"/>
        <v>-8.3333333333332538E-2</v>
      </c>
      <c r="F312">
        <f t="shared" si="25"/>
        <v>44.34820593518554</v>
      </c>
      <c r="G312">
        <f t="shared" si="26"/>
        <v>373.22299520380136</v>
      </c>
      <c r="I312">
        <f t="shared" si="27"/>
        <v>5.5555555555555556E-4</v>
      </c>
      <c r="J312">
        <f t="shared" si="28"/>
        <v>6.1594730465535472E-2</v>
      </c>
      <c r="K312">
        <f t="shared" si="29"/>
        <v>0.89573518848912337</v>
      </c>
    </row>
    <row r="313" spans="1:11" x14ac:dyDescent="0.35">
      <c r="A313" s="2" t="s">
        <v>6</v>
      </c>
      <c r="B313" s="2">
        <v>310</v>
      </c>
      <c r="C313" s="2">
        <v>310</v>
      </c>
      <c r="D313" s="14">
        <v>39.700000000000003</v>
      </c>
      <c r="E313" s="1">
        <f t="shared" si="24"/>
        <v>-0.12499999999999981</v>
      </c>
      <c r="F313">
        <f t="shared" si="25"/>
        <v>25.045527490740831</v>
      </c>
      <c r="G313">
        <f t="shared" si="26"/>
        <v>369.50007255837693</v>
      </c>
      <c r="I313">
        <f t="shared" si="27"/>
        <v>5.5555555555555556E-4</v>
      </c>
      <c r="J313">
        <f t="shared" si="28"/>
        <v>3.4785454848251157E-2</v>
      </c>
      <c r="K313">
        <f t="shared" si="29"/>
        <v>0.88680017414010459</v>
      </c>
    </row>
    <row r="314" spans="1:11" x14ac:dyDescent="0.35">
      <c r="A314" s="2" t="s">
        <v>6</v>
      </c>
      <c r="B314" s="2">
        <v>311</v>
      </c>
      <c r="C314" s="2">
        <v>311</v>
      </c>
      <c r="D314" s="14">
        <v>39.200000000000003</v>
      </c>
      <c r="E314" s="1">
        <f t="shared" si="24"/>
        <v>-0.16666666666666705</v>
      </c>
      <c r="F314">
        <f t="shared" si="25"/>
        <v>5.6714465185183531</v>
      </c>
      <c r="G314">
        <f t="shared" si="26"/>
        <v>364.84641925159639</v>
      </c>
      <c r="I314">
        <f t="shared" si="27"/>
        <v>5.5555555555555556E-4</v>
      </c>
      <c r="J314">
        <f t="shared" si="28"/>
        <v>7.8770090534977123E-3</v>
      </c>
      <c r="K314">
        <f t="shared" si="29"/>
        <v>0.8756314062038314</v>
      </c>
    </row>
    <row r="315" spans="1:11" x14ac:dyDescent="0.35">
      <c r="A315" s="2" t="s">
        <v>6</v>
      </c>
      <c r="B315" s="2">
        <v>312</v>
      </c>
      <c r="C315" s="2">
        <v>312</v>
      </c>
      <c r="D315" s="14">
        <v>38.5</v>
      </c>
      <c r="E315" s="1">
        <f t="shared" si="24"/>
        <v>-0.25000000000000061</v>
      </c>
      <c r="F315">
        <f t="shared" si="25"/>
        <v>0</v>
      </c>
      <c r="G315">
        <f t="shared" si="26"/>
        <v>358.33130462210357</v>
      </c>
      <c r="I315">
        <f t="shared" si="27"/>
        <v>5.5555555555555556E-4</v>
      </c>
      <c r="J315">
        <f t="shared" si="28"/>
        <v>0</v>
      </c>
      <c r="K315">
        <f t="shared" si="29"/>
        <v>0.85999513109304859</v>
      </c>
    </row>
    <row r="316" spans="1:11" x14ac:dyDescent="0.35">
      <c r="A316" s="2" t="s">
        <v>6</v>
      </c>
      <c r="B316" s="2">
        <v>313</v>
      </c>
      <c r="C316" s="2">
        <v>313</v>
      </c>
      <c r="D316" s="14">
        <v>37.4</v>
      </c>
      <c r="E316" s="1">
        <f t="shared" si="24"/>
        <v>-0.34722222222222221</v>
      </c>
      <c r="F316">
        <f t="shared" si="25"/>
        <v>0</v>
      </c>
      <c r="G316">
        <f t="shared" si="26"/>
        <v>348.09326734718633</v>
      </c>
      <c r="I316">
        <f t="shared" si="27"/>
        <v>5.5555555555555556E-4</v>
      </c>
      <c r="J316">
        <f t="shared" si="28"/>
        <v>0</v>
      </c>
      <c r="K316">
        <f t="shared" si="29"/>
        <v>0.83542384163324712</v>
      </c>
    </row>
    <row r="317" spans="1:11" x14ac:dyDescent="0.35">
      <c r="A317" s="2" t="s">
        <v>6</v>
      </c>
      <c r="B317" s="2">
        <v>314</v>
      </c>
      <c r="C317" s="2">
        <v>314</v>
      </c>
      <c r="D317" s="14">
        <v>36</v>
      </c>
      <c r="E317" s="1">
        <f t="shared" si="24"/>
        <v>-0.41666666666666663</v>
      </c>
      <c r="F317">
        <f t="shared" si="25"/>
        <v>0</v>
      </c>
      <c r="G317">
        <f t="shared" si="26"/>
        <v>335.06303808820076</v>
      </c>
      <c r="I317">
        <f t="shared" si="27"/>
        <v>5.5555555555555556E-4</v>
      </c>
      <c r="J317">
        <f t="shared" si="28"/>
        <v>0</v>
      </c>
      <c r="K317">
        <f t="shared" si="29"/>
        <v>0.80415129141168185</v>
      </c>
    </row>
    <row r="318" spans="1:11" x14ac:dyDescent="0.35">
      <c r="A318" s="2" t="s">
        <v>6</v>
      </c>
      <c r="B318" s="2">
        <v>315</v>
      </c>
      <c r="C318" s="2">
        <v>315</v>
      </c>
      <c r="D318" s="14">
        <v>34.4</v>
      </c>
      <c r="E318" s="1">
        <f t="shared" si="24"/>
        <v>-0.41666666666666663</v>
      </c>
      <c r="F318">
        <f t="shared" si="25"/>
        <v>0</v>
      </c>
      <c r="G318">
        <f t="shared" si="26"/>
        <v>320.17134750650291</v>
      </c>
      <c r="I318">
        <f t="shared" si="27"/>
        <v>5.5555555555555556E-4</v>
      </c>
      <c r="J318">
        <f t="shared" si="28"/>
        <v>0</v>
      </c>
      <c r="K318">
        <f t="shared" si="29"/>
        <v>0.76841123401560707</v>
      </c>
    </row>
    <row r="319" spans="1:11" x14ac:dyDescent="0.35">
      <c r="A319" s="2" t="s">
        <v>6</v>
      </c>
      <c r="B319" s="2">
        <v>316</v>
      </c>
      <c r="C319" s="2">
        <v>316</v>
      </c>
      <c r="D319" s="14">
        <v>33</v>
      </c>
      <c r="E319" s="1">
        <f t="shared" si="24"/>
        <v>-0.37499999999999989</v>
      </c>
      <c r="F319">
        <f t="shared" si="25"/>
        <v>0</v>
      </c>
      <c r="G319">
        <f t="shared" si="26"/>
        <v>307.14111824751734</v>
      </c>
      <c r="I319">
        <f t="shared" si="27"/>
        <v>5.5555555555555556E-4</v>
      </c>
      <c r="J319">
        <f t="shared" si="28"/>
        <v>0</v>
      </c>
      <c r="K319">
        <f t="shared" si="29"/>
        <v>0.73713868379404157</v>
      </c>
    </row>
    <row r="320" spans="1:11" x14ac:dyDescent="0.35">
      <c r="A320" s="2" t="s">
        <v>6</v>
      </c>
      <c r="B320" s="2">
        <v>317</v>
      </c>
      <c r="C320" s="2">
        <v>317</v>
      </c>
      <c r="D320" s="14">
        <v>31.7</v>
      </c>
      <c r="E320" s="1">
        <f t="shared" si="24"/>
        <v>-0.41666666666666663</v>
      </c>
      <c r="F320">
        <f t="shared" si="25"/>
        <v>0</v>
      </c>
      <c r="G320">
        <f t="shared" si="26"/>
        <v>295.04161964988788</v>
      </c>
      <c r="I320">
        <f t="shared" si="27"/>
        <v>5.5555555555555556E-4</v>
      </c>
      <c r="J320">
        <f t="shared" si="28"/>
        <v>0</v>
      </c>
      <c r="K320">
        <f t="shared" si="29"/>
        <v>0.70809988715973093</v>
      </c>
    </row>
    <row r="321" spans="1:11" x14ac:dyDescent="0.35">
      <c r="A321" s="2" t="s">
        <v>6</v>
      </c>
      <c r="B321" s="2">
        <v>318</v>
      </c>
      <c r="C321" s="2">
        <v>318</v>
      </c>
      <c r="D321" s="14">
        <v>30</v>
      </c>
      <c r="E321" s="1">
        <f t="shared" si="24"/>
        <v>-0.51388888888888873</v>
      </c>
      <c r="F321">
        <f t="shared" si="25"/>
        <v>0</v>
      </c>
      <c r="G321">
        <f t="shared" si="26"/>
        <v>279.21919840683393</v>
      </c>
      <c r="I321">
        <f t="shared" si="27"/>
        <v>5.5555555555555556E-4</v>
      </c>
      <c r="J321">
        <f t="shared" si="28"/>
        <v>0</v>
      </c>
      <c r="K321">
        <f t="shared" si="29"/>
        <v>0.67012607617640141</v>
      </c>
    </row>
    <row r="322" spans="1:11" x14ac:dyDescent="0.35">
      <c r="A322" s="2" t="s">
        <v>6</v>
      </c>
      <c r="B322" s="2">
        <v>319</v>
      </c>
      <c r="C322" s="2">
        <v>319</v>
      </c>
      <c r="D322" s="14">
        <v>28</v>
      </c>
      <c r="E322" s="1">
        <f t="shared" si="24"/>
        <v>-0.54166666666666641</v>
      </c>
      <c r="F322">
        <f t="shared" si="25"/>
        <v>0</v>
      </c>
      <c r="G322">
        <f t="shared" si="26"/>
        <v>260.60458517971171</v>
      </c>
      <c r="I322">
        <f t="shared" si="27"/>
        <v>5.5555555555555556E-4</v>
      </c>
      <c r="J322">
        <f t="shared" si="28"/>
        <v>0</v>
      </c>
      <c r="K322">
        <f t="shared" si="29"/>
        <v>0.62545100443130808</v>
      </c>
    </row>
    <row r="323" spans="1:11" x14ac:dyDescent="0.35">
      <c r="A323" s="2" t="s">
        <v>6</v>
      </c>
      <c r="B323" s="2">
        <v>320</v>
      </c>
      <c r="C323" s="2">
        <v>320</v>
      </c>
      <c r="D323" s="14">
        <v>26.1</v>
      </c>
      <c r="E323" s="1">
        <f t="shared" si="24"/>
        <v>-0.33333333333333315</v>
      </c>
      <c r="F323">
        <f t="shared" si="25"/>
        <v>0</v>
      </c>
      <c r="G323">
        <f t="shared" si="26"/>
        <v>242.92070261394554</v>
      </c>
      <c r="I323">
        <f t="shared" si="27"/>
        <v>5.5555555555555556E-4</v>
      </c>
      <c r="J323">
        <f t="shared" si="28"/>
        <v>0</v>
      </c>
      <c r="K323">
        <f t="shared" si="29"/>
        <v>0.58300968627346927</v>
      </c>
    </row>
    <row r="324" spans="1:11" x14ac:dyDescent="0.35">
      <c r="A324" s="2" t="s">
        <v>6</v>
      </c>
      <c r="B324" s="2">
        <v>321</v>
      </c>
      <c r="C324" s="2">
        <v>321</v>
      </c>
      <c r="D324" s="14">
        <v>25.6</v>
      </c>
      <c r="E324" s="1">
        <f t="shared" si="24"/>
        <v>-0.16666666666666705</v>
      </c>
      <c r="F324">
        <f t="shared" si="25"/>
        <v>0</v>
      </c>
      <c r="G324">
        <f t="shared" si="26"/>
        <v>238.26704930716497</v>
      </c>
      <c r="I324">
        <f t="shared" si="27"/>
        <v>5.5555555555555556E-4</v>
      </c>
      <c r="J324">
        <f t="shared" si="28"/>
        <v>0</v>
      </c>
      <c r="K324">
        <f t="shared" si="29"/>
        <v>0.57184091833719597</v>
      </c>
    </row>
    <row r="325" spans="1:11" x14ac:dyDescent="0.35">
      <c r="A325" s="2" t="s">
        <v>6</v>
      </c>
      <c r="B325" s="2">
        <v>322</v>
      </c>
      <c r="C325" s="2">
        <v>322</v>
      </c>
      <c r="D325" s="14">
        <v>24.9</v>
      </c>
      <c r="E325" s="1">
        <f t="shared" ref="E325:E388" si="30">($D326-$D324)/2/3.6</f>
        <v>-9.7222222222222612E-2</v>
      </c>
      <c r="F325">
        <f t="shared" ref="F325:F388" si="31">IF(D325=0,0,MAX(0,0.285*(1600*E325 + 1600*9.81*0.015 + 0.5*1.225*0.32*2.2*(D325/3.6)^2)))</f>
        <v>28.646254083333158</v>
      </c>
      <c r="G325">
        <f t="shared" ref="G325:G388" si="32">60*D325/(2*PI()*3.6*0.285)</f>
        <v>231.75193467767218</v>
      </c>
      <c r="I325">
        <f t="shared" ref="I325:I388" si="33">1/1800</f>
        <v>5.5555555555555556E-4</v>
      </c>
      <c r="J325">
        <f t="shared" ref="J325:J388" si="34">F325/(M$3*3.6)</f>
        <v>3.9786464004629388E-2</v>
      </c>
      <c r="K325">
        <f t="shared" ref="K325:K388" si="35">G325*3.6/N$3</f>
        <v>0.55620464322641328</v>
      </c>
    </row>
    <row r="326" spans="1:11" x14ac:dyDescent="0.35">
      <c r="A326" s="2" t="s">
        <v>6</v>
      </c>
      <c r="B326" s="2">
        <v>323</v>
      </c>
      <c r="C326" s="2">
        <v>323</v>
      </c>
      <c r="D326" s="14">
        <v>24.9</v>
      </c>
      <c r="E326" s="1">
        <f t="shared" si="30"/>
        <v>-8.3333333333333037E-2</v>
      </c>
      <c r="F326">
        <f t="shared" si="31"/>
        <v>34.979587416666803</v>
      </c>
      <c r="G326">
        <f t="shared" si="32"/>
        <v>231.75193467767218</v>
      </c>
      <c r="I326">
        <f t="shared" si="33"/>
        <v>5.5555555555555556E-4</v>
      </c>
      <c r="J326">
        <f t="shared" si="34"/>
        <v>4.8582760300926113E-2</v>
      </c>
      <c r="K326">
        <f t="shared" si="35"/>
        <v>0.55620464322641328</v>
      </c>
    </row>
    <row r="327" spans="1:11" x14ac:dyDescent="0.35">
      <c r="A327" s="2" t="s">
        <v>6</v>
      </c>
      <c r="B327" s="2">
        <v>324</v>
      </c>
      <c r="C327" s="2">
        <v>324</v>
      </c>
      <c r="D327" s="14">
        <v>24.3</v>
      </c>
      <c r="E327" s="1">
        <f t="shared" si="30"/>
        <v>-0.1388888888888889</v>
      </c>
      <c r="F327">
        <f t="shared" si="31"/>
        <v>9.3663334166666647</v>
      </c>
      <c r="G327">
        <f t="shared" si="32"/>
        <v>226.1675507095355</v>
      </c>
      <c r="I327">
        <f t="shared" si="33"/>
        <v>5.5555555555555556E-4</v>
      </c>
      <c r="J327">
        <f t="shared" si="34"/>
        <v>1.3008796412037034E-2</v>
      </c>
      <c r="K327">
        <f t="shared" si="35"/>
        <v>0.54280212170288522</v>
      </c>
    </row>
    <row r="328" spans="1:11" x14ac:dyDescent="0.35">
      <c r="A328" s="2" t="s">
        <v>6</v>
      </c>
      <c r="B328" s="2">
        <v>325</v>
      </c>
      <c r="C328" s="2">
        <v>325</v>
      </c>
      <c r="D328" s="14">
        <v>23.9</v>
      </c>
      <c r="E328" s="1">
        <f t="shared" si="30"/>
        <v>-5.5555555555555851E-2</v>
      </c>
      <c r="F328">
        <f t="shared" si="31"/>
        <v>47.18351260185171</v>
      </c>
      <c r="G328">
        <f t="shared" si="32"/>
        <v>222.44462806411104</v>
      </c>
      <c r="I328">
        <f t="shared" si="33"/>
        <v>5.5555555555555556E-4</v>
      </c>
      <c r="J328">
        <f t="shared" si="34"/>
        <v>6.5532656391460706E-2</v>
      </c>
      <c r="K328">
        <f t="shared" si="35"/>
        <v>0.53386710735386655</v>
      </c>
    </row>
    <row r="329" spans="1:11" x14ac:dyDescent="0.35">
      <c r="A329" s="2" t="s">
        <v>6</v>
      </c>
      <c r="B329" s="2">
        <v>326</v>
      </c>
      <c r="C329" s="2">
        <v>326</v>
      </c>
      <c r="D329" s="14">
        <v>23.9</v>
      </c>
      <c r="E329" s="1">
        <f t="shared" si="30"/>
        <v>-4.1666666666666269E-2</v>
      </c>
      <c r="F329">
        <f t="shared" si="31"/>
        <v>53.516845935185358</v>
      </c>
      <c r="G329">
        <f t="shared" si="32"/>
        <v>222.44462806411104</v>
      </c>
      <c r="I329">
        <f t="shared" si="33"/>
        <v>5.5555555555555556E-4</v>
      </c>
      <c r="J329">
        <f t="shared" si="34"/>
        <v>7.4328952687757438E-2</v>
      </c>
      <c r="K329">
        <f t="shared" si="35"/>
        <v>0.53386710735386655</v>
      </c>
    </row>
    <row r="330" spans="1:11" x14ac:dyDescent="0.35">
      <c r="A330" s="2" t="s">
        <v>6</v>
      </c>
      <c r="B330" s="2">
        <v>327</v>
      </c>
      <c r="C330" s="2">
        <v>327</v>
      </c>
      <c r="D330" s="14">
        <v>23.6</v>
      </c>
      <c r="E330" s="1">
        <f t="shared" si="30"/>
        <v>-8.3333333333333037E-2</v>
      </c>
      <c r="F330">
        <f t="shared" si="31"/>
        <v>34.381721629629759</v>
      </c>
      <c r="G330">
        <f t="shared" si="32"/>
        <v>219.65243608004272</v>
      </c>
      <c r="I330">
        <f t="shared" si="33"/>
        <v>5.5555555555555556E-4</v>
      </c>
      <c r="J330">
        <f t="shared" si="34"/>
        <v>4.7752391152263554E-2</v>
      </c>
      <c r="K330">
        <f t="shared" si="35"/>
        <v>0.52716584659210253</v>
      </c>
    </row>
    <row r="331" spans="1:11" x14ac:dyDescent="0.35">
      <c r="A331" s="2" t="s">
        <v>6</v>
      </c>
      <c r="B331" s="2">
        <v>328</v>
      </c>
      <c r="C331" s="2">
        <v>328</v>
      </c>
      <c r="D331" s="14">
        <v>23.3</v>
      </c>
      <c r="E331" s="1">
        <f t="shared" si="30"/>
        <v>-0.43055555555555575</v>
      </c>
      <c r="F331">
        <f t="shared" si="31"/>
        <v>0</v>
      </c>
      <c r="G331">
        <f t="shared" si="32"/>
        <v>216.86024409597437</v>
      </c>
      <c r="I331">
        <f t="shared" si="33"/>
        <v>5.5555555555555556E-4</v>
      </c>
      <c r="J331">
        <f t="shared" si="34"/>
        <v>0</v>
      </c>
      <c r="K331">
        <f t="shared" si="35"/>
        <v>0.5204645858303385</v>
      </c>
    </row>
    <row r="332" spans="1:11" x14ac:dyDescent="0.35">
      <c r="A332" s="2" t="s">
        <v>6</v>
      </c>
      <c r="B332" s="2">
        <v>329</v>
      </c>
      <c r="C332" s="2">
        <v>329</v>
      </c>
      <c r="D332" s="14">
        <v>20.5</v>
      </c>
      <c r="E332" s="1">
        <f t="shared" si="30"/>
        <v>-0.80555555555555558</v>
      </c>
      <c r="F332">
        <f t="shared" si="31"/>
        <v>0</v>
      </c>
      <c r="G332">
        <f t="shared" si="32"/>
        <v>190.7997855780032</v>
      </c>
      <c r="I332">
        <f t="shared" si="33"/>
        <v>5.5555555555555556E-4</v>
      </c>
      <c r="J332">
        <f t="shared" si="34"/>
        <v>0</v>
      </c>
      <c r="K332">
        <f t="shared" si="35"/>
        <v>0.45791948538720773</v>
      </c>
    </row>
    <row r="333" spans="1:11" x14ac:dyDescent="0.35">
      <c r="A333" s="2" t="s">
        <v>6</v>
      </c>
      <c r="B333" s="2">
        <v>330</v>
      </c>
      <c r="C333" s="2">
        <v>330</v>
      </c>
      <c r="D333" s="14">
        <v>17.5</v>
      </c>
      <c r="E333" s="1">
        <f t="shared" si="30"/>
        <v>-0.50000000000000022</v>
      </c>
      <c r="F333">
        <f t="shared" si="31"/>
        <v>0</v>
      </c>
      <c r="G333">
        <f t="shared" si="32"/>
        <v>162.87786573731981</v>
      </c>
      <c r="I333">
        <f t="shared" si="33"/>
        <v>5.5555555555555556E-4</v>
      </c>
      <c r="J333">
        <f t="shared" si="34"/>
        <v>0</v>
      </c>
      <c r="K333">
        <f t="shared" si="35"/>
        <v>0.39090687776956756</v>
      </c>
    </row>
    <row r="334" spans="1:11" x14ac:dyDescent="0.35">
      <c r="A334" s="2" t="s">
        <v>6</v>
      </c>
      <c r="B334" s="2">
        <v>331</v>
      </c>
      <c r="C334" s="2">
        <v>331</v>
      </c>
      <c r="D334" s="14">
        <v>16.899999999999999</v>
      </c>
      <c r="E334" s="1">
        <f t="shared" si="30"/>
        <v>-0.1111111111111112</v>
      </c>
      <c r="F334">
        <f t="shared" si="31"/>
        <v>19.142003712962921</v>
      </c>
      <c r="G334">
        <f t="shared" si="32"/>
        <v>157.2934817691831</v>
      </c>
      <c r="I334">
        <f t="shared" si="33"/>
        <v>5.5555555555555556E-4</v>
      </c>
      <c r="J334">
        <f t="shared" si="34"/>
        <v>2.6586116268004056E-2</v>
      </c>
      <c r="K334">
        <f t="shared" si="35"/>
        <v>0.37750435624603945</v>
      </c>
    </row>
    <row r="335" spans="1:11" x14ac:dyDescent="0.35">
      <c r="A335" s="2" t="s">
        <v>6</v>
      </c>
      <c r="B335" s="2">
        <v>332</v>
      </c>
      <c r="C335" s="2">
        <v>332</v>
      </c>
      <c r="D335" s="14">
        <v>16.7</v>
      </c>
      <c r="E335" s="1">
        <f t="shared" si="30"/>
        <v>-0.13888888888888865</v>
      </c>
      <c r="F335">
        <f t="shared" si="31"/>
        <v>6.4116152685186281</v>
      </c>
      <c r="G335">
        <f t="shared" si="32"/>
        <v>155.43202044647089</v>
      </c>
      <c r="I335">
        <f t="shared" si="33"/>
        <v>5.5555555555555556E-4</v>
      </c>
      <c r="J335">
        <f t="shared" si="34"/>
        <v>8.9050212062758722E-3</v>
      </c>
      <c r="K335">
        <f t="shared" si="35"/>
        <v>0.37303684907153017</v>
      </c>
    </row>
    <row r="336" spans="1:11" x14ac:dyDescent="0.35">
      <c r="A336" s="2" t="s">
        <v>6</v>
      </c>
      <c r="B336" s="2">
        <v>333</v>
      </c>
      <c r="C336" s="2">
        <v>333</v>
      </c>
      <c r="D336" s="14">
        <v>15.9</v>
      </c>
      <c r="E336" s="1">
        <f t="shared" si="30"/>
        <v>-0.15277777777777773</v>
      </c>
      <c r="F336">
        <f t="shared" si="31"/>
        <v>0</v>
      </c>
      <c r="G336">
        <f t="shared" si="32"/>
        <v>147.98617515562199</v>
      </c>
      <c r="I336">
        <f t="shared" si="33"/>
        <v>5.5555555555555556E-4</v>
      </c>
      <c r="J336">
        <f t="shared" si="34"/>
        <v>0</v>
      </c>
      <c r="K336">
        <f t="shared" si="35"/>
        <v>0.35516682037349279</v>
      </c>
    </row>
    <row r="337" spans="1:11" x14ac:dyDescent="0.35">
      <c r="A337" s="2" t="s">
        <v>6</v>
      </c>
      <c r="B337" s="2">
        <v>334</v>
      </c>
      <c r="C337" s="2">
        <v>334</v>
      </c>
      <c r="D337" s="14">
        <v>15.6</v>
      </c>
      <c r="E337" s="1">
        <f t="shared" si="30"/>
        <v>-0.12500000000000006</v>
      </c>
      <c r="F337">
        <f t="shared" si="31"/>
        <v>12.408038666666641</v>
      </c>
      <c r="G337">
        <f t="shared" si="32"/>
        <v>145.19398317155364</v>
      </c>
      <c r="I337">
        <f t="shared" si="33"/>
        <v>5.5555555555555556E-4</v>
      </c>
      <c r="J337">
        <f t="shared" si="34"/>
        <v>1.7233387037037001E-2</v>
      </c>
      <c r="K337">
        <f t="shared" si="35"/>
        <v>0.34846555961172876</v>
      </c>
    </row>
    <row r="338" spans="1:11" x14ac:dyDescent="0.35">
      <c r="A338" s="2" t="s">
        <v>6</v>
      </c>
      <c r="B338" s="2">
        <v>335</v>
      </c>
      <c r="C338" s="2">
        <v>335</v>
      </c>
      <c r="D338" s="14">
        <v>15</v>
      </c>
      <c r="E338" s="1">
        <f t="shared" si="30"/>
        <v>-0.15277777777777773</v>
      </c>
      <c r="F338">
        <f t="shared" si="31"/>
        <v>0</v>
      </c>
      <c r="G338">
        <f t="shared" si="32"/>
        <v>139.60959920341696</v>
      </c>
      <c r="I338">
        <f t="shared" si="33"/>
        <v>5.5555555555555556E-4</v>
      </c>
      <c r="J338">
        <f t="shared" si="34"/>
        <v>0</v>
      </c>
      <c r="K338">
        <f t="shared" si="35"/>
        <v>0.3350630380882007</v>
      </c>
    </row>
    <row r="339" spans="1:11" x14ac:dyDescent="0.35">
      <c r="A339" s="2" t="s">
        <v>6</v>
      </c>
      <c r="B339" s="2">
        <v>336</v>
      </c>
      <c r="C339" s="2">
        <v>336</v>
      </c>
      <c r="D339" s="14">
        <v>14.5</v>
      </c>
      <c r="E339" s="1">
        <f t="shared" si="30"/>
        <v>-9.7222222222222127E-2</v>
      </c>
      <c r="F339">
        <f t="shared" si="31"/>
        <v>24.760742824074114</v>
      </c>
      <c r="G339">
        <f t="shared" si="32"/>
        <v>134.95594589663642</v>
      </c>
      <c r="I339">
        <f t="shared" si="33"/>
        <v>5.5555555555555556E-4</v>
      </c>
      <c r="J339">
        <f t="shared" si="34"/>
        <v>3.4389920588991825E-2</v>
      </c>
      <c r="K339">
        <f t="shared" si="35"/>
        <v>0.3238942701519274</v>
      </c>
    </row>
    <row r="340" spans="1:11" x14ac:dyDescent="0.35">
      <c r="A340" s="2" t="s">
        <v>6</v>
      </c>
      <c r="B340" s="2">
        <v>337</v>
      </c>
      <c r="C340" s="2">
        <v>337</v>
      </c>
      <c r="D340" s="14">
        <v>14.3</v>
      </c>
      <c r="E340" s="1">
        <f t="shared" si="30"/>
        <v>0</v>
      </c>
      <c r="F340">
        <f t="shared" si="31"/>
        <v>69.03945749074073</v>
      </c>
      <c r="G340">
        <f t="shared" si="32"/>
        <v>133.09448457392418</v>
      </c>
      <c r="I340">
        <f t="shared" si="33"/>
        <v>5.5555555555555556E-4</v>
      </c>
      <c r="J340">
        <f t="shared" si="34"/>
        <v>9.5888135403806571E-2</v>
      </c>
      <c r="K340">
        <f t="shared" si="35"/>
        <v>0.31942676297741801</v>
      </c>
    </row>
    <row r="341" spans="1:11" x14ac:dyDescent="0.35">
      <c r="A341" s="2" t="s">
        <v>6</v>
      </c>
      <c r="B341" s="2">
        <v>338</v>
      </c>
      <c r="C341" s="2">
        <v>338</v>
      </c>
      <c r="D341" s="14">
        <v>14.5</v>
      </c>
      <c r="E341" s="1">
        <f t="shared" si="30"/>
        <v>0.15277777777777773</v>
      </c>
      <c r="F341">
        <f t="shared" si="31"/>
        <v>138.76074282407404</v>
      </c>
      <c r="G341">
        <f t="shared" si="32"/>
        <v>134.95594589663642</v>
      </c>
      <c r="I341">
        <f t="shared" si="33"/>
        <v>5.5555555555555556E-4</v>
      </c>
      <c r="J341">
        <f t="shared" si="34"/>
        <v>0.19272325392232506</v>
      </c>
      <c r="K341">
        <f t="shared" si="35"/>
        <v>0.3238942701519274</v>
      </c>
    </row>
    <row r="342" spans="1:11" x14ac:dyDescent="0.35">
      <c r="A342" s="2" t="s">
        <v>6</v>
      </c>
      <c r="B342" s="2">
        <v>339</v>
      </c>
      <c r="C342" s="2">
        <v>339</v>
      </c>
      <c r="D342" s="14">
        <v>15.4</v>
      </c>
      <c r="E342" s="1">
        <f t="shared" si="30"/>
        <v>0.45833333333333343</v>
      </c>
      <c r="F342">
        <f t="shared" si="31"/>
        <v>278.34924774074079</v>
      </c>
      <c r="G342">
        <f t="shared" si="32"/>
        <v>143.33252184884142</v>
      </c>
      <c r="I342">
        <f t="shared" si="33"/>
        <v>5.5555555555555556E-4</v>
      </c>
      <c r="J342">
        <f t="shared" si="34"/>
        <v>0.38659617741769553</v>
      </c>
      <c r="K342">
        <f t="shared" si="35"/>
        <v>0.34399805243721943</v>
      </c>
    </row>
    <row r="343" spans="1:11" x14ac:dyDescent="0.35">
      <c r="A343" s="2" t="s">
        <v>6</v>
      </c>
      <c r="B343" s="2">
        <v>340</v>
      </c>
      <c r="C343" s="2">
        <v>340</v>
      </c>
      <c r="D343" s="14">
        <v>17.8</v>
      </c>
      <c r="E343" s="1">
        <f t="shared" si="30"/>
        <v>0.79166666666666674</v>
      </c>
      <c r="F343">
        <f t="shared" si="31"/>
        <v>431.10480596296293</v>
      </c>
      <c r="G343">
        <f t="shared" si="32"/>
        <v>165.67005772138813</v>
      </c>
      <c r="I343">
        <f t="shared" si="33"/>
        <v>5.5555555555555556E-4</v>
      </c>
      <c r="J343">
        <f t="shared" si="34"/>
        <v>0.59875667494855966</v>
      </c>
      <c r="K343">
        <f t="shared" si="35"/>
        <v>0.39760813853133153</v>
      </c>
    </row>
    <row r="344" spans="1:11" x14ac:dyDescent="0.35">
      <c r="A344" s="2" t="s">
        <v>6</v>
      </c>
      <c r="B344" s="2">
        <v>341</v>
      </c>
      <c r="C344" s="2">
        <v>341</v>
      </c>
      <c r="D344" s="14">
        <v>21.1</v>
      </c>
      <c r="E344" s="1">
        <f t="shared" si="30"/>
        <v>0.87500000000000011</v>
      </c>
      <c r="F344">
        <f t="shared" si="31"/>
        <v>470.32206260185188</v>
      </c>
      <c r="G344">
        <f t="shared" si="32"/>
        <v>196.38416954613987</v>
      </c>
      <c r="I344">
        <f t="shared" si="33"/>
        <v>5.5555555555555556E-4</v>
      </c>
      <c r="J344">
        <f t="shared" si="34"/>
        <v>0.65322508694701653</v>
      </c>
      <c r="K344">
        <f t="shared" si="35"/>
        <v>0.47132200691073572</v>
      </c>
    </row>
    <row r="345" spans="1:11" x14ac:dyDescent="0.35">
      <c r="A345" s="2" t="s">
        <v>6</v>
      </c>
      <c r="B345" s="2">
        <v>342</v>
      </c>
      <c r="C345" s="2">
        <v>342</v>
      </c>
      <c r="D345" s="14">
        <v>24.1</v>
      </c>
      <c r="E345" s="1">
        <f t="shared" si="30"/>
        <v>0.54166666666666641</v>
      </c>
      <c r="F345">
        <f t="shared" si="31"/>
        <v>319.60787704629615</v>
      </c>
      <c r="G345">
        <f t="shared" si="32"/>
        <v>224.30608938682326</v>
      </c>
      <c r="I345">
        <f t="shared" si="33"/>
        <v>5.5555555555555556E-4</v>
      </c>
      <c r="J345">
        <f t="shared" si="34"/>
        <v>0.44389982923096688</v>
      </c>
      <c r="K345">
        <f t="shared" si="35"/>
        <v>0.53833461452837583</v>
      </c>
    </row>
    <row r="346" spans="1:11" x14ac:dyDescent="0.35">
      <c r="A346" s="2" t="s">
        <v>6</v>
      </c>
      <c r="B346" s="2">
        <v>343</v>
      </c>
      <c r="C346" s="2">
        <v>343</v>
      </c>
      <c r="D346" s="14">
        <v>25</v>
      </c>
      <c r="E346" s="1">
        <f t="shared" si="30"/>
        <v>0.16666666666666657</v>
      </c>
      <c r="F346">
        <f t="shared" si="31"/>
        <v>149.0269046296296</v>
      </c>
      <c r="G346">
        <f t="shared" si="32"/>
        <v>232.68266533902829</v>
      </c>
      <c r="I346">
        <f t="shared" si="33"/>
        <v>5.5555555555555556E-4</v>
      </c>
      <c r="J346">
        <f t="shared" si="34"/>
        <v>0.20698181198559668</v>
      </c>
      <c r="K346">
        <f t="shared" si="35"/>
        <v>0.55843839681366791</v>
      </c>
    </row>
    <row r="347" spans="1:11" x14ac:dyDescent="0.35">
      <c r="A347" s="2" t="s">
        <v>6</v>
      </c>
      <c r="B347" s="2">
        <v>344</v>
      </c>
      <c r="C347" s="2">
        <v>344</v>
      </c>
      <c r="D347" s="14">
        <v>25.3</v>
      </c>
      <c r="E347" s="1">
        <f t="shared" si="30"/>
        <v>6.9444444444444448E-2</v>
      </c>
      <c r="F347">
        <f t="shared" si="31"/>
        <v>104.83666082407407</v>
      </c>
      <c r="G347">
        <f t="shared" si="32"/>
        <v>235.47485732309664</v>
      </c>
      <c r="I347">
        <f t="shared" si="33"/>
        <v>5.5555555555555556E-4</v>
      </c>
      <c r="J347">
        <f t="shared" si="34"/>
        <v>0.14560647336676955</v>
      </c>
      <c r="K347">
        <f t="shared" si="35"/>
        <v>0.56513965757543194</v>
      </c>
    </row>
    <row r="348" spans="1:11" x14ac:dyDescent="0.35">
      <c r="A348" s="2" t="s">
        <v>6</v>
      </c>
      <c r="B348" s="2">
        <v>345</v>
      </c>
      <c r="C348" s="2">
        <v>345</v>
      </c>
      <c r="D348" s="14">
        <v>25.5</v>
      </c>
      <c r="E348" s="1">
        <f t="shared" si="30"/>
        <v>0.15277777777777748</v>
      </c>
      <c r="F348">
        <f t="shared" si="31"/>
        <v>142.93300208333318</v>
      </c>
      <c r="G348">
        <f t="shared" si="32"/>
        <v>237.33631864580886</v>
      </c>
      <c r="I348">
        <f t="shared" si="33"/>
        <v>5.5555555555555556E-4</v>
      </c>
      <c r="J348">
        <f t="shared" si="34"/>
        <v>0.19851805844907386</v>
      </c>
      <c r="K348">
        <f t="shared" si="35"/>
        <v>0.56960716474994133</v>
      </c>
    </row>
    <row r="349" spans="1:11" x14ac:dyDescent="0.35">
      <c r="A349" s="2" t="s">
        <v>6</v>
      </c>
      <c r="B349" s="2">
        <v>346</v>
      </c>
      <c r="C349" s="2">
        <v>346</v>
      </c>
      <c r="D349" s="14">
        <v>26.4</v>
      </c>
      <c r="E349" s="1">
        <f t="shared" si="30"/>
        <v>0.15277777777777798</v>
      </c>
      <c r="F349">
        <f t="shared" si="31"/>
        <v>143.37592533333341</v>
      </c>
      <c r="G349">
        <f t="shared" si="32"/>
        <v>245.71289459801389</v>
      </c>
      <c r="I349">
        <f t="shared" si="33"/>
        <v>5.5555555555555556E-4</v>
      </c>
      <c r="J349">
        <f t="shared" si="34"/>
        <v>0.19913322962962973</v>
      </c>
      <c r="K349">
        <f t="shared" si="35"/>
        <v>0.5897109470352333</v>
      </c>
    </row>
    <row r="350" spans="1:11" x14ac:dyDescent="0.35">
      <c r="A350" s="2" t="s">
        <v>6</v>
      </c>
      <c r="B350" s="2">
        <v>347</v>
      </c>
      <c r="C350" s="2">
        <v>347</v>
      </c>
      <c r="D350" s="14">
        <v>26.6</v>
      </c>
      <c r="E350" s="1">
        <f t="shared" si="30"/>
        <v>9.7222222222222612E-2</v>
      </c>
      <c r="F350">
        <f t="shared" si="31"/>
        <v>118.14310551851868</v>
      </c>
      <c r="G350">
        <f t="shared" si="32"/>
        <v>247.57435592072611</v>
      </c>
      <c r="I350">
        <f t="shared" si="33"/>
        <v>5.5555555555555556E-4</v>
      </c>
      <c r="J350">
        <f t="shared" si="34"/>
        <v>0.16408764655349817</v>
      </c>
      <c r="K350">
        <f t="shared" si="35"/>
        <v>0.59417845420974269</v>
      </c>
    </row>
    <row r="351" spans="1:11" x14ac:dyDescent="0.35">
      <c r="A351" s="2" t="s">
        <v>6</v>
      </c>
      <c r="B351" s="2">
        <v>348</v>
      </c>
      <c r="C351" s="2">
        <v>348</v>
      </c>
      <c r="D351" s="14">
        <v>27.1</v>
      </c>
      <c r="E351" s="1">
        <f t="shared" si="30"/>
        <v>0.15277777777777748</v>
      </c>
      <c r="F351">
        <f t="shared" si="31"/>
        <v>143.73104149074058</v>
      </c>
      <c r="G351">
        <f t="shared" si="32"/>
        <v>252.22800922750667</v>
      </c>
      <c r="I351">
        <f t="shared" si="33"/>
        <v>5.5555555555555556E-4</v>
      </c>
      <c r="J351">
        <f t="shared" si="34"/>
        <v>0.19962644651491748</v>
      </c>
      <c r="K351">
        <f t="shared" si="35"/>
        <v>0.60534722214601611</v>
      </c>
    </row>
    <row r="352" spans="1:11" x14ac:dyDescent="0.35">
      <c r="A352" s="2" t="s">
        <v>6</v>
      </c>
      <c r="B352" s="2">
        <v>349</v>
      </c>
      <c r="C352" s="2">
        <v>349</v>
      </c>
      <c r="D352" s="14">
        <v>27.7</v>
      </c>
      <c r="E352" s="1">
        <f t="shared" si="30"/>
        <v>0.1388888888888889</v>
      </c>
      <c r="F352">
        <f t="shared" si="31"/>
        <v>137.70948971296295</v>
      </c>
      <c r="G352">
        <f t="shared" si="32"/>
        <v>257.81239319564332</v>
      </c>
      <c r="I352">
        <f t="shared" si="33"/>
        <v>5.5555555555555556E-4</v>
      </c>
      <c r="J352">
        <f t="shared" si="34"/>
        <v>0.19126318015689298</v>
      </c>
      <c r="K352">
        <f t="shared" si="35"/>
        <v>0.61874974366954405</v>
      </c>
    </row>
    <row r="353" spans="1:11" x14ac:dyDescent="0.35">
      <c r="A353" s="2" t="s">
        <v>6</v>
      </c>
      <c r="B353" s="2">
        <v>350</v>
      </c>
      <c r="C353" s="2">
        <v>350</v>
      </c>
      <c r="D353" s="14">
        <v>28.1</v>
      </c>
      <c r="E353" s="1">
        <f t="shared" si="30"/>
        <v>6.9444444444444448E-2</v>
      </c>
      <c r="F353">
        <f t="shared" si="31"/>
        <v>106.25447037962962</v>
      </c>
      <c r="G353">
        <f t="shared" si="32"/>
        <v>261.53531584106781</v>
      </c>
      <c r="I353">
        <f t="shared" si="33"/>
        <v>5.5555555555555556E-4</v>
      </c>
      <c r="J353">
        <f t="shared" si="34"/>
        <v>0.14757565330504113</v>
      </c>
      <c r="K353">
        <f t="shared" si="35"/>
        <v>0.62768475801856272</v>
      </c>
    </row>
    <row r="354" spans="1:11" x14ac:dyDescent="0.35">
      <c r="A354" s="2" t="s">
        <v>6</v>
      </c>
      <c r="B354" s="2">
        <v>351</v>
      </c>
      <c r="C354" s="2">
        <v>351</v>
      </c>
      <c r="D354" s="14">
        <v>28.2</v>
      </c>
      <c r="E354" s="1">
        <f t="shared" si="30"/>
        <v>0</v>
      </c>
      <c r="F354">
        <f t="shared" si="31"/>
        <v>74.641189666666648</v>
      </c>
      <c r="G354">
        <f t="shared" si="32"/>
        <v>262.46604650242392</v>
      </c>
      <c r="I354">
        <f t="shared" si="33"/>
        <v>5.5555555555555556E-4</v>
      </c>
      <c r="J354">
        <f t="shared" si="34"/>
        <v>0.10366831898148146</v>
      </c>
      <c r="K354">
        <f t="shared" si="35"/>
        <v>0.62991851160581747</v>
      </c>
    </row>
    <row r="355" spans="1:11" x14ac:dyDescent="0.35">
      <c r="A355" s="2" t="s">
        <v>6</v>
      </c>
      <c r="B355" s="2">
        <v>352</v>
      </c>
      <c r="C355" s="2">
        <v>352</v>
      </c>
      <c r="D355" s="14">
        <v>28.1</v>
      </c>
      <c r="E355" s="1">
        <f t="shared" si="30"/>
        <v>-2.7777777777777679E-2</v>
      </c>
      <c r="F355">
        <f t="shared" si="31"/>
        <v>61.921137046296337</v>
      </c>
      <c r="G355">
        <f t="shared" si="32"/>
        <v>261.53531584106781</v>
      </c>
      <c r="I355">
        <f t="shared" si="33"/>
        <v>5.5555555555555556E-4</v>
      </c>
      <c r="J355">
        <f t="shared" si="34"/>
        <v>8.6001579230967129E-2</v>
      </c>
      <c r="K355">
        <f t="shared" si="35"/>
        <v>0.62768475801856272</v>
      </c>
    </row>
    <row r="356" spans="1:11" x14ac:dyDescent="0.35">
      <c r="A356" s="2" t="s">
        <v>6</v>
      </c>
      <c r="B356" s="2">
        <v>353</v>
      </c>
      <c r="C356" s="2">
        <v>353</v>
      </c>
      <c r="D356" s="14">
        <v>28</v>
      </c>
      <c r="E356" s="1">
        <f t="shared" si="30"/>
        <v>-2.7777777777778172E-2</v>
      </c>
      <c r="F356">
        <f t="shared" si="31"/>
        <v>61.867940740740551</v>
      </c>
      <c r="G356">
        <f t="shared" si="32"/>
        <v>260.60458517971171</v>
      </c>
      <c r="I356">
        <f t="shared" si="33"/>
        <v>5.5555555555555556E-4</v>
      </c>
      <c r="J356">
        <f t="shared" si="34"/>
        <v>8.592769547325077E-2</v>
      </c>
      <c r="K356">
        <f t="shared" si="35"/>
        <v>0.62545100443130808</v>
      </c>
    </row>
    <row r="357" spans="1:11" x14ac:dyDescent="0.35">
      <c r="A357" s="2" t="s">
        <v>6</v>
      </c>
      <c r="B357" s="2">
        <v>354</v>
      </c>
      <c r="C357" s="2">
        <v>354</v>
      </c>
      <c r="D357" s="14">
        <v>27.9</v>
      </c>
      <c r="E357" s="1">
        <f t="shared" si="30"/>
        <v>-1.3888888888889086E-2</v>
      </c>
      <c r="F357">
        <f t="shared" si="31"/>
        <v>68.14826741666657</v>
      </c>
      <c r="G357">
        <f t="shared" si="32"/>
        <v>259.6738545183556</v>
      </c>
      <c r="I357">
        <f t="shared" si="33"/>
        <v>5.5555555555555556E-4</v>
      </c>
      <c r="J357">
        <f t="shared" si="34"/>
        <v>9.4650371412036902E-2</v>
      </c>
      <c r="K357">
        <f t="shared" si="35"/>
        <v>0.62321725084405344</v>
      </c>
    </row>
    <row r="358" spans="1:11" x14ac:dyDescent="0.35">
      <c r="A358" s="2" t="s">
        <v>6</v>
      </c>
      <c r="B358" s="2">
        <v>355</v>
      </c>
      <c r="C358" s="2">
        <v>355</v>
      </c>
      <c r="D358" s="14">
        <v>27.9</v>
      </c>
      <c r="E358" s="1">
        <f t="shared" si="30"/>
        <v>2.7777777777778172E-2</v>
      </c>
      <c r="F358">
        <f t="shared" si="31"/>
        <v>87.14826741666684</v>
      </c>
      <c r="G358">
        <f t="shared" si="32"/>
        <v>259.6738545183556</v>
      </c>
      <c r="I358">
        <f t="shared" si="33"/>
        <v>5.5555555555555556E-4</v>
      </c>
      <c r="J358">
        <f t="shared" si="34"/>
        <v>0.12103926030092617</v>
      </c>
      <c r="K358">
        <f t="shared" si="35"/>
        <v>0.62321725084405344</v>
      </c>
    </row>
    <row r="359" spans="1:11" x14ac:dyDescent="0.35">
      <c r="A359" s="2" t="s">
        <v>6</v>
      </c>
      <c r="B359" s="2">
        <v>356</v>
      </c>
      <c r="C359" s="2">
        <v>356</v>
      </c>
      <c r="D359" s="14">
        <v>28.1</v>
      </c>
      <c r="E359" s="1">
        <f t="shared" si="30"/>
        <v>4.1666666666666761E-2</v>
      </c>
      <c r="F359">
        <f t="shared" si="31"/>
        <v>93.587803712962994</v>
      </c>
      <c r="G359">
        <f t="shared" si="32"/>
        <v>261.53531584106781</v>
      </c>
      <c r="I359">
        <f t="shared" si="33"/>
        <v>5.5555555555555556E-4</v>
      </c>
      <c r="J359">
        <f t="shared" si="34"/>
        <v>0.12998306071244861</v>
      </c>
      <c r="K359">
        <f t="shared" si="35"/>
        <v>0.62768475801856272</v>
      </c>
    </row>
    <row r="360" spans="1:11" x14ac:dyDescent="0.35">
      <c r="A360" s="2" t="s">
        <v>6</v>
      </c>
      <c r="B360" s="2">
        <v>357</v>
      </c>
      <c r="C360" s="2">
        <v>357</v>
      </c>
      <c r="D360" s="14">
        <v>28.2</v>
      </c>
      <c r="E360" s="1">
        <f t="shared" si="30"/>
        <v>-1.3888888888889086E-2</v>
      </c>
      <c r="F360">
        <f t="shared" si="31"/>
        <v>68.307856333333234</v>
      </c>
      <c r="G360">
        <f t="shared" si="32"/>
        <v>262.46604650242392</v>
      </c>
      <c r="I360">
        <f t="shared" si="33"/>
        <v>5.5555555555555556E-4</v>
      </c>
      <c r="J360">
        <f t="shared" si="34"/>
        <v>9.4872022685185048E-2</v>
      </c>
      <c r="K360">
        <f t="shared" si="35"/>
        <v>0.62991851160581747</v>
      </c>
    </row>
    <row r="361" spans="1:11" x14ac:dyDescent="0.35">
      <c r="A361" s="2" t="s">
        <v>6</v>
      </c>
      <c r="B361" s="2">
        <v>358</v>
      </c>
      <c r="C361" s="2">
        <v>358</v>
      </c>
      <c r="D361" s="14">
        <v>28</v>
      </c>
      <c r="E361" s="1">
        <f t="shared" si="30"/>
        <v>-0.18055555555555566</v>
      </c>
      <c r="F361">
        <f t="shared" si="31"/>
        <v>0</v>
      </c>
      <c r="G361">
        <f t="shared" si="32"/>
        <v>260.60458517971171</v>
      </c>
      <c r="I361">
        <f t="shared" si="33"/>
        <v>5.5555555555555556E-4</v>
      </c>
      <c r="J361">
        <f t="shared" si="34"/>
        <v>0</v>
      </c>
      <c r="K361">
        <f t="shared" si="35"/>
        <v>0.62545100443130808</v>
      </c>
    </row>
    <row r="362" spans="1:11" x14ac:dyDescent="0.35">
      <c r="A362" s="2" t="s">
        <v>6</v>
      </c>
      <c r="B362" s="2">
        <v>359</v>
      </c>
      <c r="C362" s="2">
        <v>359</v>
      </c>
      <c r="D362" s="14">
        <v>26.9</v>
      </c>
      <c r="E362" s="1">
        <f t="shared" si="30"/>
        <v>-0.41666666666666663</v>
      </c>
      <c r="F362">
        <f t="shared" si="31"/>
        <v>0</v>
      </c>
      <c r="G362">
        <f t="shared" si="32"/>
        <v>250.36654790479443</v>
      </c>
      <c r="I362">
        <f t="shared" si="33"/>
        <v>5.5555555555555556E-4</v>
      </c>
      <c r="J362">
        <f t="shared" si="34"/>
        <v>0</v>
      </c>
      <c r="K362">
        <f t="shared" si="35"/>
        <v>0.60087971497150661</v>
      </c>
    </row>
    <row r="363" spans="1:11" x14ac:dyDescent="0.35">
      <c r="A363" s="2" t="s">
        <v>6</v>
      </c>
      <c r="B363" s="2">
        <v>360</v>
      </c>
      <c r="C363" s="2">
        <v>360</v>
      </c>
      <c r="D363" s="14">
        <v>25</v>
      </c>
      <c r="E363" s="1">
        <f t="shared" si="30"/>
        <v>-0.51388888888888873</v>
      </c>
      <c r="F363">
        <f t="shared" si="31"/>
        <v>0</v>
      </c>
      <c r="G363">
        <f t="shared" si="32"/>
        <v>232.68266533902829</v>
      </c>
      <c r="I363">
        <f t="shared" si="33"/>
        <v>5.5555555555555556E-4</v>
      </c>
      <c r="J363">
        <f t="shared" si="34"/>
        <v>0</v>
      </c>
      <c r="K363">
        <f t="shared" si="35"/>
        <v>0.55843839681366791</v>
      </c>
    </row>
    <row r="364" spans="1:11" x14ac:dyDescent="0.35">
      <c r="A364" s="2" t="s">
        <v>6</v>
      </c>
      <c r="B364" s="2">
        <v>361</v>
      </c>
      <c r="C364" s="2">
        <v>361</v>
      </c>
      <c r="D364" s="14">
        <v>23.2</v>
      </c>
      <c r="E364" s="1">
        <f t="shared" si="30"/>
        <v>-0.43055555555555575</v>
      </c>
      <c r="F364">
        <f t="shared" si="31"/>
        <v>0</v>
      </c>
      <c r="G364">
        <f t="shared" si="32"/>
        <v>215.92951343461826</v>
      </c>
      <c r="I364">
        <f t="shared" si="33"/>
        <v>5.5555555555555556E-4</v>
      </c>
      <c r="J364">
        <f t="shared" si="34"/>
        <v>0</v>
      </c>
      <c r="K364">
        <f t="shared" si="35"/>
        <v>0.51823083224308375</v>
      </c>
    </row>
    <row r="365" spans="1:11" x14ac:dyDescent="0.35">
      <c r="A365" s="2" t="s">
        <v>6</v>
      </c>
      <c r="B365" s="2">
        <v>362</v>
      </c>
      <c r="C365" s="2">
        <v>362</v>
      </c>
      <c r="D365" s="14">
        <v>21.9</v>
      </c>
      <c r="E365" s="1">
        <f t="shared" si="30"/>
        <v>-0.29166666666666635</v>
      </c>
      <c r="F365">
        <f t="shared" si="31"/>
        <v>0</v>
      </c>
      <c r="G365">
        <f t="shared" si="32"/>
        <v>203.83001483698879</v>
      </c>
      <c r="I365">
        <f t="shared" si="33"/>
        <v>5.5555555555555556E-4</v>
      </c>
      <c r="J365">
        <f t="shared" si="34"/>
        <v>0</v>
      </c>
      <c r="K365">
        <f t="shared" si="35"/>
        <v>0.48919203560877311</v>
      </c>
    </row>
    <row r="366" spans="1:11" x14ac:dyDescent="0.35">
      <c r="A366" s="2" t="s">
        <v>6</v>
      </c>
      <c r="B366" s="2">
        <v>363</v>
      </c>
      <c r="C366" s="2">
        <v>363</v>
      </c>
      <c r="D366" s="14">
        <v>21.1</v>
      </c>
      <c r="E366" s="1">
        <f t="shared" si="30"/>
        <v>-0.16666666666666657</v>
      </c>
      <c r="F366">
        <f t="shared" si="31"/>
        <v>0</v>
      </c>
      <c r="G366">
        <f t="shared" si="32"/>
        <v>196.38416954613987</v>
      </c>
      <c r="I366">
        <f t="shared" si="33"/>
        <v>5.5555555555555556E-4</v>
      </c>
      <c r="J366">
        <f t="shared" si="34"/>
        <v>0</v>
      </c>
      <c r="K366">
        <f t="shared" si="35"/>
        <v>0.47132200691073572</v>
      </c>
    </row>
    <row r="367" spans="1:11" x14ac:dyDescent="0.35">
      <c r="A367" s="2" t="s">
        <v>6</v>
      </c>
      <c r="B367" s="2">
        <v>364</v>
      </c>
      <c r="C367" s="2">
        <v>364</v>
      </c>
      <c r="D367" s="14">
        <v>20.7</v>
      </c>
      <c r="E367" s="1">
        <f t="shared" si="30"/>
        <v>-5.5555555555555851E-2</v>
      </c>
      <c r="F367">
        <f t="shared" si="31"/>
        <v>45.830183416666529</v>
      </c>
      <c r="G367">
        <f t="shared" si="32"/>
        <v>192.66124690071541</v>
      </c>
      <c r="I367">
        <f t="shared" si="33"/>
        <v>5.5555555555555556E-4</v>
      </c>
      <c r="J367">
        <f t="shared" si="34"/>
        <v>6.3653032523147954E-2</v>
      </c>
      <c r="K367">
        <f t="shared" si="35"/>
        <v>0.462386992561717</v>
      </c>
    </row>
    <row r="368" spans="1:11" x14ac:dyDescent="0.35">
      <c r="A368" s="2" t="s">
        <v>6</v>
      </c>
      <c r="B368" s="2">
        <v>365</v>
      </c>
      <c r="C368" s="2">
        <v>365</v>
      </c>
      <c r="D368" s="14">
        <v>20.7</v>
      </c>
      <c r="E368" s="1">
        <f t="shared" si="30"/>
        <v>1.3888888888889086E-2</v>
      </c>
      <c r="F368">
        <f t="shared" si="31"/>
        <v>77.496850083333413</v>
      </c>
      <c r="G368">
        <f t="shared" si="32"/>
        <v>192.66124690071541</v>
      </c>
      <c r="I368">
        <f t="shared" si="33"/>
        <v>5.5555555555555556E-4</v>
      </c>
      <c r="J368">
        <f t="shared" si="34"/>
        <v>0.10763451400462974</v>
      </c>
      <c r="K368">
        <f t="shared" si="35"/>
        <v>0.462386992561717</v>
      </c>
    </row>
    <row r="369" spans="1:11" x14ac:dyDescent="0.35">
      <c r="A369" s="2" t="s">
        <v>6</v>
      </c>
      <c r="B369" s="2">
        <v>366</v>
      </c>
      <c r="C369" s="2">
        <v>366</v>
      </c>
      <c r="D369" s="14">
        <v>20.8</v>
      </c>
      <c r="E369" s="1">
        <f t="shared" si="30"/>
        <v>6.9444444444444448E-2</v>
      </c>
      <c r="F369">
        <f t="shared" si="31"/>
        <v>102.86953540740741</v>
      </c>
      <c r="G369">
        <f t="shared" si="32"/>
        <v>193.59197756207155</v>
      </c>
      <c r="I369">
        <f t="shared" si="33"/>
        <v>5.5555555555555556E-4</v>
      </c>
      <c r="J369">
        <f t="shared" si="34"/>
        <v>0.14287435473251028</v>
      </c>
      <c r="K369">
        <f t="shared" si="35"/>
        <v>0.4646207461489717</v>
      </c>
    </row>
    <row r="370" spans="1:11" x14ac:dyDescent="0.35">
      <c r="A370" s="2" t="s">
        <v>6</v>
      </c>
      <c r="B370" s="2">
        <v>367</v>
      </c>
      <c r="C370" s="2">
        <v>367</v>
      </c>
      <c r="D370" s="14">
        <v>21.2</v>
      </c>
      <c r="E370" s="1">
        <f t="shared" si="30"/>
        <v>0.18055555555555566</v>
      </c>
      <c r="F370">
        <f t="shared" si="31"/>
        <v>153.69550651851856</v>
      </c>
      <c r="G370">
        <f t="shared" si="32"/>
        <v>197.31490020749598</v>
      </c>
      <c r="I370">
        <f t="shared" si="33"/>
        <v>5.5555555555555556E-4</v>
      </c>
      <c r="J370">
        <f t="shared" si="34"/>
        <v>0.21346598127572022</v>
      </c>
      <c r="K370">
        <f t="shared" si="35"/>
        <v>0.47355576049799036</v>
      </c>
    </row>
    <row r="371" spans="1:11" x14ac:dyDescent="0.35">
      <c r="A371" s="2" t="s">
        <v>6</v>
      </c>
      <c r="B371" s="2">
        <v>368</v>
      </c>
      <c r="C371" s="2">
        <v>368</v>
      </c>
      <c r="D371" s="14">
        <v>22.1</v>
      </c>
      <c r="E371" s="1">
        <f t="shared" si="30"/>
        <v>0.31944444444444453</v>
      </c>
      <c r="F371">
        <f t="shared" si="31"/>
        <v>217.39836926851854</v>
      </c>
      <c r="G371">
        <f t="shared" si="32"/>
        <v>205.69147615970101</v>
      </c>
      <c r="I371">
        <f t="shared" si="33"/>
        <v>5.5555555555555556E-4</v>
      </c>
      <c r="J371">
        <f t="shared" si="34"/>
        <v>0.30194217953960906</v>
      </c>
      <c r="K371">
        <f t="shared" si="35"/>
        <v>0.49365954278328239</v>
      </c>
    </row>
    <row r="372" spans="1:11" x14ac:dyDescent="0.35">
      <c r="A372" s="2" t="s">
        <v>6</v>
      </c>
      <c r="B372" s="2">
        <v>369</v>
      </c>
      <c r="C372" s="2">
        <v>369</v>
      </c>
      <c r="D372" s="14">
        <v>23.5</v>
      </c>
      <c r="E372" s="1">
        <f t="shared" si="30"/>
        <v>0.30555555555555547</v>
      </c>
      <c r="F372">
        <f t="shared" si="31"/>
        <v>211.67039282407401</v>
      </c>
      <c r="G372">
        <f t="shared" si="32"/>
        <v>218.72170541868658</v>
      </c>
      <c r="I372">
        <f t="shared" si="33"/>
        <v>5.5555555555555556E-4</v>
      </c>
      <c r="J372">
        <f t="shared" si="34"/>
        <v>0.29398665670010282</v>
      </c>
      <c r="K372">
        <f t="shared" si="35"/>
        <v>0.52493209300484778</v>
      </c>
    </row>
    <row r="373" spans="1:11" x14ac:dyDescent="0.35">
      <c r="A373" s="2" t="s">
        <v>6</v>
      </c>
      <c r="B373" s="2">
        <v>370</v>
      </c>
      <c r="C373" s="2">
        <v>370</v>
      </c>
      <c r="D373" s="14">
        <v>24.3</v>
      </c>
      <c r="E373" s="1">
        <f t="shared" si="30"/>
        <v>0.1388888888888889</v>
      </c>
      <c r="F373">
        <f t="shared" si="31"/>
        <v>136.03300008333332</v>
      </c>
      <c r="G373">
        <f t="shared" si="32"/>
        <v>226.1675507095355</v>
      </c>
      <c r="I373">
        <f t="shared" si="33"/>
        <v>5.5555555555555556E-4</v>
      </c>
      <c r="J373">
        <f t="shared" si="34"/>
        <v>0.18893472233796293</v>
      </c>
      <c r="K373">
        <f t="shared" si="35"/>
        <v>0.54280212170288522</v>
      </c>
    </row>
    <row r="374" spans="1:11" x14ac:dyDescent="0.35">
      <c r="A374" s="2" t="s">
        <v>6</v>
      </c>
      <c r="B374" s="2">
        <v>371</v>
      </c>
      <c r="C374" s="2">
        <v>371</v>
      </c>
      <c r="D374" s="14">
        <v>24.5</v>
      </c>
      <c r="E374" s="1">
        <f t="shared" si="30"/>
        <v>-6.9444444444444448E-2</v>
      </c>
      <c r="F374">
        <f t="shared" si="31"/>
        <v>41.12554837962962</v>
      </c>
      <c r="G374">
        <f t="shared" si="32"/>
        <v>228.02901203224772</v>
      </c>
      <c r="I374">
        <f t="shared" si="33"/>
        <v>5.5555555555555556E-4</v>
      </c>
      <c r="J374">
        <f t="shared" si="34"/>
        <v>5.7118817193930027E-2</v>
      </c>
      <c r="K374">
        <f t="shared" si="35"/>
        <v>0.5472696288773945</v>
      </c>
    </row>
    <row r="375" spans="1:11" x14ac:dyDescent="0.35">
      <c r="A375" s="2" t="s">
        <v>6</v>
      </c>
      <c r="B375" s="2">
        <v>372</v>
      </c>
      <c r="C375" s="2">
        <v>372</v>
      </c>
      <c r="D375" s="14">
        <v>23.8</v>
      </c>
      <c r="E375" s="1">
        <f t="shared" si="30"/>
        <v>-0.44444444444444431</v>
      </c>
      <c r="F375">
        <f t="shared" si="31"/>
        <v>0</v>
      </c>
      <c r="G375">
        <f t="shared" si="32"/>
        <v>221.51389740275494</v>
      </c>
      <c r="I375">
        <f t="shared" si="33"/>
        <v>5.5555555555555556E-4</v>
      </c>
      <c r="J375">
        <f t="shared" si="34"/>
        <v>0</v>
      </c>
      <c r="K375">
        <f t="shared" si="35"/>
        <v>0.53163335376661192</v>
      </c>
    </row>
    <row r="376" spans="1:11" x14ac:dyDescent="0.35">
      <c r="A376" s="2" t="s">
        <v>6</v>
      </c>
      <c r="B376" s="2">
        <v>373</v>
      </c>
      <c r="C376" s="2">
        <v>373</v>
      </c>
      <c r="D376" s="14">
        <v>21.3</v>
      </c>
      <c r="E376" s="1">
        <f t="shared" si="30"/>
        <v>-0.84722222222222243</v>
      </c>
      <c r="F376">
        <f t="shared" si="31"/>
        <v>0</v>
      </c>
      <c r="G376">
        <f t="shared" si="32"/>
        <v>198.24563086885212</v>
      </c>
      <c r="I376">
        <f t="shared" si="33"/>
        <v>5.5555555555555556E-4</v>
      </c>
      <c r="J376">
        <f t="shared" si="34"/>
        <v>0</v>
      </c>
      <c r="K376">
        <f t="shared" si="35"/>
        <v>0.47578951408524511</v>
      </c>
    </row>
    <row r="377" spans="1:11" x14ac:dyDescent="0.35">
      <c r="A377" s="2" t="s">
        <v>6</v>
      </c>
      <c r="B377" s="2">
        <v>374</v>
      </c>
      <c r="C377" s="2">
        <v>374</v>
      </c>
      <c r="D377" s="14">
        <v>17.7</v>
      </c>
      <c r="E377" s="1">
        <f t="shared" si="30"/>
        <v>-0.95833333333333337</v>
      </c>
      <c r="F377">
        <f t="shared" si="31"/>
        <v>0</v>
      </c>
      <c r="G377">
        <f t="shared" si="32"/>
        <v>164.73932706003202</v>
      </c>
      <c r="I377">
        <f t="shared" si="33"/>
        <v>5.5555555555555556E-4</v>
      </c>
      <c r="J377">
        <f t="shared" si="34"/>
        <v>0</v>
      </c>
      <c r="K377">
        <f t="shared" si="35"/>
        <v>0.39537438494407684</v>
      </c>
    </row>
    <row r="378" spans="1:11" x14ac:dyDescent="0.35">
      <c r="A378" s="2" t="s">
        <v>6</v>
      </c>
      <c r="B378" s="2">
        <v>375</v>
      </c>
      <c r="C378" s="2">
        <v>375</v>
      </c>
      <c r="D378" s="14">
        <v>14.4</v>
      </c>
      <c r="E378" s="1">
        <f t="shared" si="30"/>
        <v>-0.80555555555555536</v>
      </c>
      <c r="F378">
        <f t="shared" si="31"/>
        <v>0</v>
      </c>
      <c r="G378">
        <f t="shared" si="32"/>
        <v>134.02521523528029</v>
      </c>
      <c r="I378">
        <f t="shared" si="33"/>
        <v>5.5555555555555556E-4</v>
      </c>
      <c r="J378">
        <f t="shared" si="34"/>
        <v>0</v>
      </c>
      <c r="K378">
        <f t="shared" si="35"/>
        <v>0.3216605165646727</v>
      </c>
    </row>
    <row r="379" spans="1:11" x14ac:dyDescent="0.35">
      <c r="A379" s="2" t="s">
        <v>6</v>
      </c>
      <c r="B379" s="2">
        <v>376</v>
      </c>
      <c r="C379" s="2">
        <v>376</v>
      </c>
      <c r="D379" s="14">
        <v>11.9</v>
      </c>
      <c r="E379" s="1">
        <f t="shared" si="30"/>
        <v>-0.58333333333333348</v>
      </c>
      <c r="F379">
        <f t="shared" si="31"/>
        <v>0</v>
      </c>
      <c r="G379">
        <f t="shared" si="32"/>
        <v>110.75694870137747</v>
      </c>
      <c r="I379">
        <f t="shared" si="33"/>
        <v>5.5555555555555556E-4</v>
      </c>
      <c r="J379">
        <f t="shared" si="34"/>
        <v>0</v>
      </c>
      <c r="K379">
        <f t="shared" si="35"/>
        <v>0.26581667688330596</v>
      </c>
    </row>
    <row r="380" spans="1:11" x14ac:dyDescent="0.35">
      <c r="A380" s="2" t="s">
        <v>6</v>
      </c>
      <c r="B380" s="2">
        <v>377</v>
      </c>
      <c r="C380" s="2">
        <v>377</v>
      </c>
      <c r="D380" s="14">
        <v>10.199999999999999</v>
      </c>
      <c r="E380" s="1">
        <f t="shared" si="30"/>
        <v>-0.41666666666666663</v>
      </c>
      <c r="F380">
        <f t="shared" si="31"/>
        <v>0</v>
      </c>
      <c r="G380">
        <f t="shared" si="32"/>
        <v>94.934527458323544</v>
      </c>
      <c r="I380">
        <f t="shared" si="33"/>
        <v>5.5555555555555556E-4</v>
      </c>
      <c r="J380">
        <f t="shared" si="34"/>
        <v>0</v>
      </c>
      <c r="K380">
        <f t="shared" si="35"/>
        <v>0.22784286589997649</v>
      </c>
    </row>
    <row r="381" spans="1:11" x14ac:dyDescent="0.35">
      <c r="A381" s="2" t="s">
        <v>6</v>
      </c>
      <c r="B381" s="2">
        <v>378</v>
      </c>
      <c r="C381" s="2">
        <v>378</v>
      </c>
      <c r="D381" s="14">
        <v>8.9</v>
      </c>
      <c r="E381" s="1">
        <f t="shared" si="30"/>
        <v>-0.30555555555555547</v>
      </c>
      <c r="F381">
        <f t="shared" si="31"/>
        <v>0</v>
      </c>
      <c r="G381">
        <f t="shared" si="32"/>
        <v>82.835028860694067</v>
      </c>
      <c r="I381">
        <f t="shared" si="33"/>
        <v>5.5555555555555556E-4</v>
      </c>
      <c r="J381">
        <f t="shared" si="34"/>
        <v>0</v>
      </c>
      <c r="K381">
        <f t="shared" si="35"/>
        <v>0.19880406926566577</v>
      </c>
    </row>
    <row r="382" spans="1:11" x14ac:dyDescent="0.35">
      <c r="A382" s="2" t="s">
        <v>6</v>
      </c>
      <c r="B382" s="2">
        <v>379</v>
      </c>
      <c r="C382" s="2">
        <v>379</v>
      </c>
      <c r="D382" s="14">
        <v>8</v>
      </c>
      <c r="E382" s="1">
        <f t="shared" si="30"/>
        <v>-0.23611111111111113</v>
      </c>
      <c r="F382">
        <f t="shared" si="31"/>
        <v>0</v>
      </c>
      <c r="G382">
        <f t="shared" si="32"/>
        <v>74.458452908489051</v>
      </c>
      <c r="I382">
        <f t="shared" si="33"/>
        <v>5.5555555555555556E-4</v>
      </c>
      <c r="J382">
        <f t="shared" si="34"/>
        <v>0</v>
      </c>
      <c r="K382">
        <f t="shared" si="35"/>
        <v>0.17870028698037371</v>
      </c>
    </row>
    <row r="383" spans="1:11" x14ac:dyDescent="0.35">
      <c r="A383" s="2" t="s">
        <v>6</v>
      </c>
      <c r="B383" s="2">
        <v>380</v>
      </c>
      <c r="C383" s="2">
        <v>380</v>
      </c>
      <c r="D383" s="14">
        <v>7.2</v>
      </c>
      <c r="E383" s="1">
        <f t="shared" si="30"/>
        <v>-0.26388888888888895</v>
      </c>
      <c r="F383">
        <f t="shared" si="31"/>
        <v>0</v>
      </c>
      <c r="G383">
        <f t="shared" si="32"/>
        <v>67.012607617640143</v>
      </c>
      <c r="I383">
        <f t="shared" si="33"/>
        <v>5.5555555555555556E-4</v>
      </c>
      <c r="J383">
        <f t="shared" si="34"/>
        <v>0</v>
      </c>
      <c r="K383">
        <f t="shared" si="35"/>
        <v>0.16083025828233635</v>
      </c>
    </row>
    <row r="384" spans="1:11" x14ac:dyDescent="0.35">
      <c r="A384" s="2" t="s">
        <v>6</v>
      </c>
      <c r="B384" s="2">
        <v>381</v>
      </c>
      <c r="C384" s="2">
        <v>381</v>
      </c>
      <c r="D384" s="14">
        <v>6.1</v>
      </c>
      <c r="E384" s="1">
        <f t="shared" si="30"/>
        <v>-0.31944444444444442</v>
      </c>
      <c r="F384">
        <f t="shared" si="31"/>
        <v>0</v>
      </c>
      <c r="G384">
        <f t="shared" si="32"/>
        <v>56.774570342722903</v>
      </c>
      <c r="I384">
        <f t="shared" si="33"/>
        <v>5.5555555555555556E-4</v>
      </c>
      <c r="J384">
        <f t="shared" si="34"/>
        <v>0</v>
      </c>
      <c r="K384">
        <f t="shared" si="35"/>
        <v>0.13625896882253496</v>
      </c>
    </row>
    <row r="385" spans="1:11" x14ac:dyDescent="0.35">
      <c r="A385" s="2" t="s">
        <v>6</v>
      </c>
      <c r="B385" s="2">
        <v>382</v>
      </c>
      <c r="C385" s="2">
        <v>382</v>
      </c>
      <c r="D385" s="14">
        <v>4.9000000000000004</v>
      </c>
      <c r="E385" s="1">
        <f t="shared" si="30"/>
        <v>-0.33333333333333326</v>
      </c>
      <c r="F385">
        <f t="shared" si="31"/>
        <v>0</v>
      </c>
      <c r="G385">
        <f t="shared" si="32"/>
        <v>45.605802406449548</v>
      </c>
      <c r="I385">
        <f t="shared" si="33"/>
        <v>5.5555555555555556E-4</v>
      </c>
      <c r="J385">
        <f t="shared" si="34"/>
        <v>0</v>
      </c>
      <c r="K385">
        <f t="shared" si="35"/>
        <v>0.10945392577547892</v>
      </c>
    </row>
    <row r="386" spans="1:11" x14ac:dyDescent="0.35">
      <c r="A386" s="2" t="s">
        <v>6</v>
      </c>
      <c r="B386" s="2">
        <v>383</v>
      </c>
      <c r="C386" s="2">
        <v>383</v>
      </c>
      <c r="D386" s="14">
        <v>3.7</v>
      </c>
      <c r="E386" s="1">
        <f t="shared" si="30"/>
        <v>-0.36111111111111116</v>
      </c>
      <c r="F386">
        <f t="shared" si="31"/>
        <v>0</v>
      </c>
      <c r="G386">
        <f t="shared" si="32"/>
        <v>34.437034470176187</v>
      </c>
      <c r="I386">
        <f t="shared" si="33"/>
        <v>5.5555555555555556E-4</v>
      </c>
      <c r="J386">
        <f t="shared" si="34"/>
        <v>0</v>
      </c>
      <c r="K386">
        <f t="shared" si="35"/>
        <v>8.2648882728422843E-2</v>
      </c>
    </row>
    <row r="387" spans="1:11" x14ac:dyDescent="0.35">
      <c r="A387" s="2" t="s">
        <v>6</v>
      </c>
      <c r="B387" s="2">
        <v>384</v>
      </c>
      <c r="C387" s="2">
        <v>384</v>
      </c>
      <c r="D387" s="14">
        <v>2.2999999999999998</v>
      </c>
      <c r="E387" s="1">
        <f t="shared" si="30"/>
        <v>-0.3888888888888889</v>
      </c>
      <c r="F387">
        <f t="shared" si="31"/>
        <v>0</v>
      </c>
      <c r="G387">
        <f t="shared" si="32"/>
        <v>21.406805211190601</v>
      </c>
      <c r="I387">
        <f t="shared" si="33"/>
        <v>5.5555555555555556E-4</v>
      </c>
      <c r="J387">
        <f t="shared" si="34"/>
        <v>0</v>
      </c>
      <c r="K387">
        <f t="shared" si="35"/>
        <v>5.1376332506857449E-2</v>
      </c>
    </row>
    <row r="388" spans="1:11" x14ac:dyDescent="0.35">
      <c r="A388" s="2" t="s">
        <v>6</v>
      </c>
      <c r="B388" s="2">
        <v>385</v>
      </c>
      <c r="C388" s="2">
        <v>385</v>
      </c>
      <c r="D388" s="14">
        <v>0.9</v>
      </c>
      <c r="E388" s="1">
        <f t="shared" si="30"/>
        <v>-0.31944444444444442</v>
      </c>
      <c r="F388">
        <f t="shared" si="31"/>
        <v>0</v>
      </c>
      <c r="G388">
        <f t="shared" si="32"/>
        <v>8.3765759522050178</v>
      </c>
      <c r="I388">
        <f t="shared" si="33"/>
        <v>5.5555555555555556E-4</v>
      </c>
      <c r="J388">
        <f t="shared" si="34"/>
        <v>0</v>
      </c>
      <c r="K388">
        <f t="shared" si="35"/>
        <v>2.0103782285292044E-2</v>
      </c>
    </row>
    <row r="389" spans="1:11" x14ac:dyDescent="0.35">
      <c r="A389" s="2" t="s">
        <v>6</v>
      </c>
      <c r="B389" s="2">
        <v>386</v>
      </c>
      <c r="C389" s="2">
        <v>386</v>
      </c>
      <c r="D389" s="14">
        <v>0</v>
      </c>
      <c r="E389" s="1">
        <f t="shared" ref="E389:E452" si="36">($D390-$D388)/2/3.6</f>
        <v>-0.125</v>
      </c>
      <c r="F389">
        <f t="shared" ref="F389:F452" si="37">IF(D389=0,0,MAX(0,0.285*(1600*E389 + 1600*9.81*0.015 + 0.5*1.225*0.32*2.2*(D389/3.6)^2)))</f>
        <v>0</v>
      </c>
      <c r="G389">
        <f t="shared" ref="G389:G452" si="38">60*D389/(2*PI()*3.6*0.285)</f>
        <v>0</v>
      </c>
      <c r="I389">
        <f t="shared" ref="I389:I452" si="39">1/1800</f>
        <v>5.5555555555555556E-4</v>
      </c>
      <c r="J389">
        <f t="shared" ref="J389:J452" si="40">F389/(M$3*3.6)</f>
        <v>0</v>
      </c>
      <c r="K389">
        <f t="shared" ref="K389:K452" si="41">G389*3.6/N$3</f>
        <v>0</v>
      </c>
    </row>
    <row r="390" spans="1:11" x14ac:dyDescent="0.35">
      <c r="A390" s="2" t="s">
        <v>6</v>
      </c>
      <c r="B390" s="2">
        <v>387</v>
      </c>
      <c r="C390" s="2">
        <v>387</v>
      </c>
      <c r="D390" s="14">
        <v>0</v>
      </c>
      <c r="E390" s="1">
        <f t="shared" si="36"/>
        <v>0</v>
      </c>
      <c r="F390">
        <f t="shared" si="37"/>
        <v>0</v>
      </c>
      <c r="G390">
        <f t="shared" si="38"/>
        <v>0</v>
      </c>
      <c r="I390">
        <f t="shared" si="39"/>
        <v>5.5555555555555556E-4</v>
      </c>
      <c r="J390">
        <f t="shared" si="40"/>
        <v>0</v>
      </c>
      <c r="K390">
        <f t="shared" si="41"/>
        <v>0</v>
      </c>
    </row>
    <row r="391" spans="1:11" x14ac:dyDescent="0.35">
      <c r="A391" s="2" t="s">
        <v>6</v>
      </c>
      <c r="B391" s="2">
        <v>388</v>
      </c>
      <c r="C391" s="2">
        <v>388</v>
      </c>
      <c r="D391" s="14">
        <v>0</v>
      </c>
      <c r="E391" s="1">
        <f t="shared" si="36"/>
        <v>0</v>
      </c>
      <c r="F391">
        <f t="shared" si="37"/>
        <v>0</v>
      </c>
      <c r="G391">
        <f t="shared" si="38"/>
        <v>0</v>
      </c>
      <c r="I391">
        <f t="shared" si="39"/>
        <v>5.5555555555555556E-4</v>
      </c>
      <c r="J391">
        <f t="shared" si="40"/>
        <v>0</v>
      </c>
      <c r="K391">
        <f t="shared" si="41"/>
        <v>0</v>
      </c>
    </row>
    <row r="392" spans="1:11" x14ac:dyDescent="0.35">
      <c r="A392" s="2" t="s">
        <v>6</v>
      </c>
      <c r="B392" s="2">
        <v>389</v>
      </c>
      <c r="C392" s="2">
        <v>389</v>
      </c>
      <c r="D392" s="14">
        <v>0</v>
      </c>
      <c r="E392" s="1">
        <f t="shared" si="36"/>
        <v>0</v>
      </c>
      <c r="F392">
        <f t="shared" si="37"/>
        <v>0</v>
      </c>
      <c r="G392">
        <f t="shared" si="38"/>
        <v>0</v>
      </c>
      <c r="I392">
        <f t="shared" si="39"/>
        <v>5.5555555555555556E-4</v>
      </c>
      <c r="J392">
        <f t="shared" si="40"/>
        <v>0</v>
      </c>
      <c r="K392">
        <f t="shared" si="41"/>
        <v>0</v>
      </c>
    </row>
    <row r="393" spans="1:11" x14ac:dyDescent="0.35">
      <c r="A393" s="2" t="s">
        <v>6</v>
      </c>
      <c r="B393" s="2">
        <v>390</v>
      </c>
      <c r="C393" s="2">
        <v>390</v>
      </c>
      <c r="D393" s="14">
        <v>0</v>
      </c>
      <c r="E393" s="1">
        <f t="shared" si="36"/>
        <v>0</v>
      </c>
      <c r="F393">
        <f t="shared" si="37"/>
        <v>0</v>
      </c>
      <c r="G393">
        <f t="shared" si="38"/>
        <v>0</v>
      </c>
      <c r="I393">
        <f t="shared" si="39"/>
        <v>5.5555555555555556E-4</v>
      </c>
      <c r="J393">
        <f t="shared" si="40"/>
        <v>0</v>
      </c>
      <c r="K393">
        <f t="shared" si="41"/>
        <v>0</v>
      </c>
    </row>
    <row r="394" spans="1:11" x14ac:dyDescent="0.35">
      <c r="A394" s="2" t="s">
        <v>6</v>
      </c>
      <c r="B394" s="2">
        <v>391</v>
      </c>
      <c r="C394" s="2">
        <v>391</v>
      </c>
      <c r="D394" s="14">
        <v>0</v>
      </c>
      <c r="E394" s="1">
        <f t="shared" si="36"/>
        <v>6.9444444444444448E-2</v>
      </c>
      <c r="F394">
        <f t="shared" si="37"/>
        <v>0</v>
      </c>
      <c r="G394">
        <f t="shared" si="38"/>
        <v>0</v>
      </c>
      <c r="I394">
        <f t="shared" si="39"/>
        <v>5.5555555555555556E-4</v>
      </c>
      <c r="J394">
        <f t="shared" si="40"/>
        <v>0</v>
      </c>
      <c r="K394">
        <f t="shared" si="41"/>
        <v>0</v>
      </c>
    </row>
    <row r="395" spans="1:11" x14ac:dyDescent="0.35">
      <c r="A395" s="2" t="s">
        <v>6</v>
      </c>
      <c r="B395" s="2">
        <v>392</v>
      </c>
      <c r="C395" s="2">
        <v>392</v>
      </c>
      <c r="D395" s="14">
        <v>0.5</v>
      </c>
      <c r="E395" s="1">
        <f t="shared" si="36"/>
        <v>0.29166666666666669</v>
      </c>
      <c r="F395">
        <f t="shared" si="37"/>
        <v>200.10277060185186</v>
      </c>
      <c r="G395">
        <f t="shared" si="38"/>
        <v>4.6536533067805657</v>
      </c>
      <c r="I395">
        <f t="shared" si="39"/>
        <v>5.5555555555555556E-4</v>
      </c>
      <c r="J395">
        <f t="shared" si="40"/>
        <v>0.27792051472479423</v>
      </c>
      <c r="K395">
        <f t="shared" si="41"/>
        <v>1.1168767936273357E-2</v>
      </c>
    </row>
    <row r="396" spans="1:11" x14ac:dyDescent="0.35">
      <c r="A396" s="2" t="s">
        <v>6</v>
      </c>
      <c r="B396" s="2">
        <v>393</v>
      </c>
      <c r="C396" s="2">
        <v>393</v>
      </c>
      <c r="D396" s="14">
        <v>2.1</v>
      </c>
      <c r="E396" s="1">
        <f t="shared" si="36"/>
        <v>0.59722222222222221</v>
      </c>
      <c r="F396">
        <f t="shared" si="37"/>
        <v>339.47555074999997</v>
      </c>
      <c r="G396">
        <f t="shared" si="38"/>
        <v>19.545343888478378</v>
      </c>
      <c r="I396">
        <f t="shared" si="39"/>
        <v>5.5555555555555556E-4</v>
      </c>
      <c r="J396">
        <f t="shared" si="40"/>
        <v>0.47149382048611105</v>
      </c>
      <c r="K396">
        <f t="shared" si="41"/>
        <v>4.6908825332348109E-2</v>
      </c>
    </row>
    <row r="397" spans="1:11" x14ac:dyDescent="0.35">
      <c r="A397" s="2" t="s">
        <v>6</v>
      </c>
      <c r="B397" s="2">
        <v>394</v>
      </c>
      <c r="C397" s="2">
        <v>394</v>
      </c>
      <c r="D397" s="14">
        <v>4.8</v>
      </c>
      <c r="E397" s="1">
        <f t="shared" si="36"/>
        <v>0.86111111111111127</v>
      </c>
      <c r="F397">
        <f t="shared" si="37"/>
        <v>459.98554133333334</v>
      </c>
      <c r="G397">
        <f t="shared" si="38"/>
        <v>44.675071745093433</v>
      </c>
      <c r="I397">
        <f t="shared" si="39"/>
        <v>5.5555555555555556E-4</v>
      </c>
      <c r="J397">
        <f t="shared" si="40"/>
        <v>0.63886880740740737</v>
      </c>
      <c r="K397">
        <f t="shared" si="41"/>
        <v>0.10722017218822424</v>
      </c>
    </row>
    <row r="398" spans="1:11" x14ac:dyDescent="0.35">
      <c r="A398" s="2" t="s">
        <v>6</v>
      </c>
      <c r="B398" s="2">
        <v>395</v>
      </c>
      <c r="C398" s="2">
        <v>395</v>
      </c>
      <c r="D398" s="14">
        <v>8.3000000000000007</v>
      </c>
      <c r="E398" s="1">
        <f t="shared" si="36"/>
        <v>1.0416666666666667</v>
      </c>
      <c r="F398">
        <f t="shared" si="37"/>
        <v>542.75364304629625</v>
      </c>
      <c r="G398">
        <f t="shared" si="38"/>
        <v>77.250644892557403</v>
      </c>
      <c r="I398">
        <f t="shared" si="39"/>
        <v>5.5555555555555556E-4</v>
      </c>
      <c r="J398">
        <f t="shared" si="40"/>
        <v>0.75382450423096703</v>
      </c>
      <c r="K398">
        <f t="shared" si="41"/>
        <v>0.18540154774213777</v>
      </c>
    </row>
    <row r="399" spans="1:11" x14ac:dyDescent="0.35">
      <c r="A399" s="2" t="s">
        <v>6</v>
      </c>
      <c r="B399" s="2">
        <v>396</v>
      </c>
      <c r="C399" s="2">
        <v>396</v>
      </c>
      <c r="D399" s="14">
        <v>12.3</v>
      </c>
      <c r="E399" s="1">
        <f t="shared" si="36"/>
        <v>1.1527777777777779</v>
      </c>
      <c r="F399">
        <f t="shared" si="37"/>
        <v>594.20166008333331</v>
      </c>
      <c r="G399">
        <f t="shared" si="38"/>
        <v>114.47987134680191</v>
      </c>
      <c r="I399">
        <f t="shared" si="39"/>
        <v>5.5555555555555556E-4</v>
      </c>
      <c r="J399">
        <f t="shared" si="40"/>
        <v>0.825280083449074</v>
      </c>
      <c r="K399">
        <f t="shared" si="41"/>
        <v>0.27475169123232462</v>
      </c>
    </row>
    <row r="400" spans="1:11" x14ac:dyDescent="0.35">
      <c r="A400" s="2" t="s">
        <v>6</v>
      </c>
      <c r="B400" s="2">
        <v>397</v>
      </c>
      <c r="C400" s="2">
        <v>397</v>
      </c>
      <c r="D400" s="14">
        <v>16.600000000000001</v>
      </c>
      <c r="E400" s="1">
        <f t="shared" si="36"/>
        <v>1.1944444444444442</v>
      </c>
      <c r="F400">
        <f t="shared" si="37"/>
        <v>614.38003885185151</v>
      </c>
      <c r="G400">
        <f t="shared" si="38"/>
        <v>154.50128978511481</v>
      </c>
      <c r="I400">
        <f t="shared" si="39"/>
        <v>5.5555555555555556E-4</v>
      </c>
      <c r="J400">
        <f t="shared" si="40"/>
        <v>0.85330560951646039</v>
      </c>
      <c r="K400">
        <f t="shared" si="41"/>
        <v>0.37080309548427554</v>
      </c>
    </row>
    <row r="401" spans="1:11" x14ac:dyDescent="0.35">
      <c r="A401" s="2" t="s">
        <v>6</v>
      </c>
      <c r="B401" s="2">
        <v>398</v>
      </c>
      <c r="C401" s="2">
        <v>398</v>
      </c>
      <c r="D401" s="14">
        <v>20.9</v>
      </c>
      <c r="E401" s="1">
        <f t="shared" si="36"/>
        <v>1.0555555555555551</v>
      </c>
      <c r="F401">
        <f t="shared" si="37"/>
        <v>552.57574371296278</v>
      </c>
      <c r="G401">
        <f t="shared" si="38"/>
        <v>194.52270822342766</v>
      </c>
      <c r="I401">
        <f t="shared" si="39"/>
        <v>5.5555555555555556E-4</v>
      </c>
      <c r="J401">
        <f t="shared" si="40"/>
        <v>0.76746631071244831</v>
      </c>
      <c r="K401">
        <f t="shared" si="41"/>
        <v>0.46685449973622639</v>
      </c>
    </row>
    <row r="402" spans="1:11" x14ac:dyDescent="0.35">
      <c r="A402" s="2" t="s">
        <v>6</v>
      </c>
      <c r="B402" s="2">
        <v>399</v>
      </c>
      <c r="C402" s="2">
        <v>399</v>
      </c>
      <c r="D402" s="14">
        <v>24.2</v>
      </c>
      <c r="E402" s="1">
        <f t="shared" si="36"/>
        <v>0.65277777777777812</v>
      </c>
      <c r="F402">
        <f t="shared" si="37"/>
        <v>370.3203437407409</v>
      </c>
      <c r="G402">
        <f t="shared" si="38"/>
        <v>225.2368200481794</v>
      </c>
      <c r="I402">
        <f t="shared" si="39"/>
        <v>5.5555555555555556E-4</v>
      </c>
      <c r="J402">
        <f t="shared" si="40"/>
        <v>0.51433381075102902</v>
      </c>
      <c r="K402">
        <f t="shared" si="41"/>
        <v>0.54056836811563058</v>
      </c>
    </row>
    <row r="403" spans="1:11" x14ac:dyDescent="0.35">
      <c r="A403" s="2" t="s">
        <v>6</v>
      </c>
      <c r="B403" s="2">
        <v>400</v>
      </c>
      <c r="C403" s="2">
        <v>400</v>
      </c>
      <c r="D403" s="14">
        <v>25.6</v>
      </c>
      <c r="E403" s="1">
        <f t="shared" si="36"/>
        <v>0.19444444444444473</v>
      </c>
      <c r="F403">
        <f t="shared" si="37"/>
        <v>161.98145718518532</v>
      </c>
      <c r="G403">
        <f t="shared" si="38"/>
        <v>238.26704930716497</v>
      </c>
      <c r="I403">
        <f t="shared" si="39"/>
        <v>5.5555555555555556E-4</v>
      </c>
      <c r="J403">
        <f t="shared" si="40"/>
        <v>0.22497424609053518</v>
      </c>
      <c r="K403">
        <f t="shared" si="41"/>
        <v>0.57184091833719597</v>
      </c>
    </row>
    <row r="404" spans="1:11" x14ac:dyDescent="0.35">
      <c r="A404" s="2" t="s">
        <v>6</v>
      </c>
      <c r="B404" s="2">
        <v>401</v>
      </c>
      <c r="C404" s="2">
        <v>401</v>
      </c>
      <c r="D404" s="14">
        <v>25.6</v>
      </c>
      <c r="E404" s="1">
        <f t="shared" si="36"/>
        <v>-9.7222222222222612E-2</v>
      </c>
      <c r="F404">
        <f t="shared" si="37"/>
        <v>28.981457185185008</v>
      </c>
      <c r="G404">
        <f t="shared" si="38"/>
        <v>238.26704930716497</v>
      </c>
      <c r="I404">
        <f t="shared" si="39"/>
        <v>5.5555555555555556E-4</v>
      </c>
      <c r="J404">
        <f t="shared" si="40"/>
        <v>4.025202386831251E-2</v>
      </c>
      <c r="K404">
        <f t="shared" si="41"/>
        <v>0.57184091833719597</v>
      </c>
    </row>
    <row r="405" spans="1:11" x14ac:dyDescent="0.35">
      <c r="A405" s="2" t="s">
        <v>6</v>
      </c>
      <c r="B405" s="2">
        <v>402</v>
      </c>
      <c r="C405" s="2">
        <v>402</v>
      </c>
      <c r="D405" s="14">
        <v>24.9</v>
      </c>
      <c r="E405" s="1">
        <f t="shared" si="36"/>
        <v>-0.31944444444444453</v>
      </c>
      <c r="F405">
        <f t="shared" si="37"/>
        <v>0</v>
      </c>
      <c r="G405">
        <f t="shared" si="38"/>
        <v>231.75193467767218</v>
      </c>
      <c r="I405">
        <f t="shared" si="39"/>
        <v>5.5555555555555556E-4</v>
      </c>
      <c r="J405">
        <f t="shared" si="40"/>
        <v>0</v>
      </c>
      <c r="K405">
        <f t="shared" si="41"/>
        <v>0.55620464322641328</v>
      </c>
    </row>
    <row r="406" spans="1:11" x14ac:dyDescent="0.35">
      <c r="A406" s="2" t="s">
        <v>6</v>
      </c>
      <c r="B406" s="2">
        <v>403</v>
      </c>
      <c r="C406" s="2">
        <v>403</v>
      </c>
      <c r="D406" s="14">
        <v>23.3</v>
      </c>
      <c r="E406" s="1">
        <f t="shared" si="36"/>
        <v>-0.45833333333333293</v>
      </c>
      <c r="F406">
        <f t="shared" si="37"/>
        <v>0</v>
      </c>
      <c r="G406">
        <f t="shared" si="38"/>
        <v>216.86024409597437</v>
      </c>
      <c r="I406">
        <f t="shared" si="39"/>
        <v>5.5555555555555556E-4</v>
      </c>
      <c r="J406">
        <f t="shared" si="40"/>
        <v>0</v>
      </c>
      <c r="K406">
        <f t="shared" si="41"/>
        <v>0.5204645858303385</v>
      </c>
    </row>
    <row r="407" spans="1:11" x14ac:dyDescent="0.35">
      <c r="A407" s="2" t="s">
        <v>6</v>
      </c>
      <c r="B407" s="2">
        <v>404</v>
      </c>
      <c r="C407" s="2">
        <v>404</v>
      </c>
      <c r="D407" s="14">
        <v>21.6</v>
      </c>
      <c r="E407" s="1">
        <f t="shared" si="36"/>
        <v>-0.43055555555555575</v>
      </c>
      <c r="F407">
        <f t="shared" si="37"/>
        <v>0</v>
      </c>
      <c r="G407">
        <f t="shared" si="38"/>
        <v>201.03782285292044</v>
      </c>
      <c r="I407">
        <f t="shared" si="39"/>
        <v>5.5555555555555556E-4</v>
      </c>
      <c r="J407">
        <f t="shared" si="40"/>
        <v>0</v>
      </c>
      <c r="K407">
        <f t="shared" si="41"/>
        <v>0.48249077484700909</v>
      </c>
    </row>
    <row r="408" spans="1:11" x14ac:dyDescent="0.35">
      <c r="A408" s="2" t="s">
        <v>6</v>
      </c>
      <c r="B408" s="2">
        <v>405</v>
      </c>
      <c r="C408" s="2">
        <v>405</v>
      </c>
      <c r="D408" s="14">
        <v>20.2</v>
      </c>
      <c r="E408" s="1">
        <f t="shared" si="36"/>
        <v>-0.40277777777777807</v>
      </c>
      <c r="F408">
        <f t="shared" si="37"/>
        <v>0</v>
      </c>
      <c r="G408">
        <f t="shared" si="38"/>
        <v>188.00759359393487</v>
      </c>
      <c r="I408">
        <f t="shared" si="39"/>
        <v>5.5555555555555556E-4</v>
      </c>
      <c r="J408">
        <f t="shared" si="40"/>
        <v>0</v>
      </c>
      <c r="K408">
        <f t="shared" si="41"/>
        <v>0.4512182246254437</v>
      </c>
    </row>
    <row r="409" spans="1:11" x14ac:dyDescent="0.35">
      <c r="A409" s="2" t="s">
        <v>6</v>
      </c>
      <c r="B409" s="2">
        <v>406</v>
      </c>
      <c r="C409" s="2">
        <v>406</v>
      </c>
      <c r="D409" s="14">
        <v>18.7</v>
      </c>
      <c r="E409" s="1">
        <f t="shared" si="36"/>
        <v>-0.44444444444444431</v>
      </c>
      <c r="F409">
        <f t="shared" si="37"/>
        <v>0</v>
      </c>
      <c r="G409">
        <f t="shared" si="38"/>
        <v>174.04663367359316</v>
      </c>
      <c r="I409">
        <f t="shared" si="39"/>
        <v>5.5555555555555556E-4</v>
      </c>
      <c r="J409">
        <f t="shared" si="40"/>
        <v>0</v>
      </c>
      <c r="K409">
        <f t="shared" si="41"/>
        <v>0.41771192081662356</v>
      </c>
    </row>
    <row r="410" spans="1:11" x14ac:dyDescent="0.35">
      <c r="A410" s="2" t="s">
        <v>6</v>
      </c>
      <c r="B410" s="2">
        <v>407</v>
      </c>
      <c r="C410" s="2">
        <v>407</v>
      </c>
      <c r="D410" s="14">
        <v>17</v>
      </c>
      <c r="E410" s="1">
        <f t="shared" si="36"/>
        <v>-0.47222222222222199</v>
      </c>
      <c r="F410">
        <f t="shared" si="37"/>
        <v>0</v>
      </c>
      <c r="G410">
        <f t="shared" si="38"/>
        <v>158.22421243053924</v>
      </c>
      <c r="I410">
        <f t="shared" si="39"/>
        <v>5.5555555555555556E-4</v>
      </c>
      <c r="J410">
        <f t="shared" si="40"/>
        <v>0</v>
      </c>
      <c r="K410">
        <f t="shared" si="41"/>
        <v>0.3797381098332942</v>
      </c>
    </row>
    <row r="411" spans="1:11" x14ac:dyDescent="0.35">
      <c r="A411" s="2" t="s">
        <v>6</v>
      </c>
      <c r="B411" s="2">
        <v>408</v>
      </c>
      <c r="C411" s="2">
        <v>408</v>
      </c>
      <c r="D411" s="14">
        <v>15.3</v>
      </c>
      <c r="E411" s="1">
        <f t="shared" si="36"/>
        <v>-0.38888888888888895</v>
      </c>
      <c r="F411">
        <f t="shared" si="37"/>
        <v>0</v>
      </c>
      <c r="G411">
        <f t="shared" si="38"/>
        <v>142.40179118748532</v>
      </c>
      <c r="I411">
        <f t="shared" si="39"/>
        <v>5.5555555555555556E-4</v>
      </c>
      <c r="J411">
        <f t="shared" si="40"/>
        <v>0</v>
      </c>
      <c r="K411">
        <f t="shared" si="41"/>
        <v>0.34176429884996479</v>
      </c>
    </row>
    <row r="412" spans="1:11" x14ac:dyDescent="0.35">
      <c r="A412" s="2" t="s">
        <v>6</v>
      </c>
      <c r="B412" s="2">
        <v>409</v>
      </c>
      <c r="C412" s="2">
        <v>409</v>
      </c>
      <c r="D412" s="14">
        <v>14.2</v>
      </c>
      <c r="E412" s="1">
        <f t="shared" si="36"/>
        <v>-0.19444444444444448</v>
      </c>
      <c r="F412">
        <f t="shared" si="37"/>
        <v>0</v>
      </c>
      <c r="G412">
        <f t="shared" si="38"/>
        <v>132.16375391256807</v>
      </c>
      <c r="I412">
        <f t="shared" si="39"/>
        <v>5.5555555555555556E-4</v>
      </c>
      <c r="J412">
        <f t="shared" si="40"/>
        <v>0</v>
      </c>
      <c r="K412">
        <f t="shared" si="41"/>
        <v>0.31719300939016337</v>
      </c>
    </row>
    <row r="413" spans="1:11" x14ac:dyDescent="0.35">
      <c r="A413" s="2" t="s">
        <v>6</v>
      </c>
      <c r="B413" s="2">
        <v>410</v>
      </c>
      <c r="C413" s="2">
        <v>410</v>
      </c>
      <c r="D413" s="14">
        <v>13.9</v>
      </c>
      <c r="E413" s="1">
        <f t="shared" si="36"/>
        <v>-2.7777777777777679E-2</v>
      </c>
      <c r="F413">
        <f t="shared" si="37"/>
        <v>56.265829268518559</v>
      </c>
      <c r="G413">
        <f t="shared" si="38"/>
        <v>129.37156192849974</v>
      </c>
      <c r="I413">
        <f t="shared" si="39"/>
        <v>5.5555555555555556E-4</v>
      </c>
      <c r="J413">
        <f t="shared" si="40"/>
        <v>7.814698509516467E-2</v>
      </c>
      <c r="K413">
        <f t="shared" si="41"/>
        <v>0.3104917486283994</v>
      </c>
    </row>
    <row r="414" spans="1:11" x14ac:dyDescent="0.35">
      <c r="A414" s="2" t="s">
        <v>6</v>
      </c>
      <c r="B414" s="2">
        <v>411</v>
      </c>
      <c r="C414" s="2">
        <v>411</v>
      </c>
      <c r="D414" s="14">
        <v>14</v>
      </c>
      <c r="E414" s="1">
        <f t="shared" si="36"/>
        <v>4.1666666666666519E-2</v>
      </c>
      <c r="F414">
        <f t="shared" si="37"/>
        <v>87.958951851851779</v>
      </c>
      <c r="G414">
        <f t="shared" si="38"/>
        <v>130.30229258985585</v>
      </c>
      <c r="I414">
        <f t="shared" si="39"/>
        <v>5.5555555555555556E-4</v>
      </c>
      <c r="J414">
        <f t="shared" si="40"/>
        <v>0.12216521090534969</v>
      </c>
      <c r="K414">
        <f t="shared" si="41"/>
        <v>0.31272550221565404</v>
      </c>
    </row>
    <row r="415" spans="1:11" x14ac:dyDescent="0.35">
      <c r="A415" s="2" t="s">
        <v>6</v>
      </c>
      <c r="B415" s="2">
        <v>412</v>
      </c>
      <c r="C415" s="2">
        <v>412</v>
      </c>
      <c r="D415" s="14">
        <v>14.2</v>
      </c>
      <c r="E415" s="1">
        <f t="shared" si="36"/>
        <v>6.9444444444444448E-2</v>
      </c>
      <c r="F415">
        <f t="shared" si="37"/>
        <v>100.67909929629629</v>
      </c>
      <c r="G415">
        <f t="shared" si="38"/>
        <v>132.16375391256807</v>
      </c>
      <c r="I415">
        <f t="shared" si="39"/>
        <v>5.5555555555555556E-4</v>
      </c>
      <c r="J415">
        <f t="shared" si="40"/>
        <v>0.13983208235596706</v>
      </c>
      <c r="K415">
        <f t="shared" si="41"/>
        <v>0.31719300939016337</v>
      </c>
    </row>
    <row r="416" spans="1:11" x14ac:dyDescent="0.35">
      <c r="A416" s="2" t="s">
        <v>6</v>
      </c>
      <c r="B416" s="2">
        <v>413</v>
      </c>
      <c r="C416" s="2">
        <v>413</v>
      </c>
      <c r="D416" s="14">
        <v>14.5</v>
      </c>
      <c r="E416" s="1">
        <f t="shared" si="36"/>
        <v>9.7222222222222363E-2</v>
      </c>
      <c r="F416">
        <f t="shared" si="37"/>
        <v>113.42740949074079</v>
      </c>
      <c r="G416">
        <f t="shared" si="38"/>
        <v>134.95594589663642</v>
      </c>
      <c r="I416">
        <f t="shared" si="39"/>
        <v>5.5555555555555556E-4</v>
      </c>
      <c r="J416">
        <f t="shared" si="40"/>
        <v>0.15753806873713999</v>
      </c>
      <c r="K416">
        <f t="shared" si="41"/>
        <v>0.3238942701519274</v>
      </c>
    </row>
    <row r="417" spans="1:11" x14ac:dyDescent="0.35">
      <c r="A417" s="2" t="s">
        <v>6</v>
      </c>
      <c r="B417" s="2">
        <v>414</v>
      </c>
      <c r="C417" s="2">
        <v>414</v>
      </c>
      <c r="D417" s="14">
        <v>14.9</v>
      </c>
      <c r="E417" s="1">
        <f t="shared" si="36"/>
        <v>0.19444444444444448</v>
      </c>
      <c r="F417">
        <f t="shared" si="37"/>
        <v>157.87225593518519</v>
      </c>
      <c r="G417">
        <f t="shared" si="38"/>
        <v>138.67886854206085</v>
      </c>
      <c r="I417">
        <f t="shared" si="39"/>
        <v>5.5555555555555556E-4</v>
      </c>
      <c r="J417">
        <f t="shared" si="40"/>
        <v>0.21926702213220167</v>
      </c>
      <c r="K417">
        <f t="shared" si="41"/>
        <v>0.33282928450094607</v>
      </c>
    </row>
    <row r="418" spans="1:11" x14ac:dyDescent="0.35">
      <c r="A418" s="2" t="s">
        <v>6</v>
      </c>
      <c r="B418" s="2">
        <v>415</v>
      </c>
      <c r="C418" s="2">
        <v>415</v>
      </c>
      <c r="D418" s="14">
        <v>15.9</v>
      </c>
      <c r="E418" s="1">
        <f t="shared" si="36"/>
        <v>0.34722222222222199</v>
      </c>
      <c r="F418">
        <f t="shared" si="37"/>
        <v>227.8309807499999</v>
      </c>
      <c r="G418">
        <f t="shared" si="38"/>
        <v>147.98617515562199</v>
      </c>
      <c r="I418">
        <f t="shared" si="39"/>
        <v>5.5555555555555556E-4</v>
      </c>
      <c r="J418">
        <f t="shared" si="40"/>
        <v>0.31643191770833318</v>
      </c>
      <c r="K418">
        <f t="shared" si="41"/>
        <v>0.35516682037349279</v>
      </c>
    </row>
    <row r="419" spans="1:11" x14ac:dyDescent="0.35">
      <c r="A419" s="2" t="s">
        <v>6</v>
      </c>
      <c r="B419" s="2">
        <v>416</v>
      </c>
      <c r="C419" s="2">
        <v>416</v>
      </c>
      <c r="D419" s="14">
        <v>17.399999999999999</v>
      </c>
      <c r="E419" s="1">
        <f t="shared" si="36"/>
        <v>0.38888888888888873</v>
      </c>
      <c r="F419">
        <f t="shared" si="37"/>
        <v>247.30462699999993</v>
      </c>
      <c r="G419">
        <f t="shared" si="38"/>
        <v>161.9471350759637</v>
      </c>
      <c r="I419">
        <f t="shared" si="39"/>
        <v>5.5555555555555556E-4</v>
      </c>
      <c r="J419">
        <f t="shared" si="40"/>
        <v>0.34347864861111099</v>
      </c>
      <c r="K419">
        <f t="shared" si="41"/>
        <v>0.38867312418231292</v>
      </c>
    </row>
    <row r="420" spans="1:11" x14ac:dyDescent="0.35">
      <c r="A420" s="2" t="s">
        <v>6</v>
      </c>
      <c r="B420" s="2">
        <v>417</v>
      </c>
      <c r="C420" s="2">
        <v>417</v>
      </c>
      <c r="D420" s="14">
        <v>18.7</v>
      </c>
      <c r="E420" s="1">
        <f t="shared" si="36"/>
        <v>0.23611111111111149</v>
      </c>
      <c r="F420">
        <f t="shared" si="37"/>
        <v>178.08296971296309</v>
      </c>
      <c r="G420">
        <f t="shared" si="38"/>
        <v>174.04663367359316</v>
      </c>
      <c r="I420">
        <f t="shared" si="39"/>
        <v>5.5555555555555556E-4</v>
      </c>
      <c r="J420">
        <f t="shared" si="40"/>
        <v>0.24733745793467096</v>
      </c>
      <c r="K420">
        <f t="shared" si="41"/>
        <v>0.41771192081662356</v>
      </c>
    </row>
    <row r="421" spans="1:11" x14ac:dyDescent="0.35">
      <c r="A421" s="2" t="s">
        <v>6</v>
      </c>
      <c r="B421" s="2">
        <v>418</v>
      </c>
      <c r="C421" s="2">
        <v>418</v>
      </c>
      <c r="D421" s="14">
        <v>19.100000000000001</v>
      </c>
      <c r="E421" s="1">
        <f t="shared" si="36"/>
        <v>1.3888888888889086E-2</v>
      </c>
      <c r="F421">
        <f t="shared" si="37"/>
        <v>76.8930103796297</v>
      </c>
      <c r="G421">
        <f t="shared" si="38"/>
        <v>177.76955631901762</v>
      </c>
      <c r="I421">
        <f t="shared" si="39"/>
        <v>5.5555555555555556E-4</v>
      </c>
      <c r="J421">
        <f t="shared" si="40"/>
        <v>0.1067958477494857</v>
      </c>
      <c r="K421">
        <f t="shared" si="41"/>
        <v>0.42664693516564234</v>
      </c>
    </row>
    <row r="422" spans="1:11" x14ac:dyDescent="0.35">
      <c r="A422" s="2" t="s">
        <v>6</v>
      </c>
      <c r="B422" s="2">
        <v>419</v>
      </c>
      <c r="C422" s="2">
        <v>419</v>
      </c>
      <c r="D422" s="14">
        <v>18.8</v>
      </c>
      <c r="E422" s="1">
        <f t="shared" si="36"/>
        <v>-0.20833333333333331</v>
      </c>
      <c r="F422">
        <f t="shared" si="37"/>
        <v>0</v>
      </c>
      <c r="G422">
        <f t="shared" si="38"/>
        <v>174.97736433494927</v>
      </c>
      <c r="I422">
        <f t="shared" si="39"/>
        <v>5.5555555555555556E-4</v>
      </c>
      <c r="J422">
        <f t="shared" si="40"/>
        <v>0</v>
      </c>
      <c r="K422">
        <f t="shared" si="41"/>
        <v>0.41994567440387826</v>
      </c>
    </row>
    <row r="423" spans="1:11" x14ac:dyDescent="0.35">
      <c r="A423" s="2" t="s">
        <v>6</v>
      </c>
      <c r="B423" s="2">
        <v>420</v>
      </c>
      <c r="C423" s="2">
        <v>420</v>
      </c>
      <c r="D423" s="14">
        <v>17.600000000000001</v>
      </c>
      <c r="E423" s="1">
        <f t="shared" si="36"/>
        <v>-0.30555555555555547</v>
      </c>
      <c r="F423">
        <f t="shared" si="37"/>
        <v>0</v>
      </c>
      <c r="G423">
        <f t="shared" si="38"/>
        <v>163.80859639867592</v>
      </c>
      <c r="I423">
        <f t="shared" si="39"/>
        <v>5.5555555555555556E-4</v>
      </c>
      <c r="J423">
        <f t="shared" si="40"/>
        <v>0</v>
      </c>
      <c r="K423">
        <f t="shared" si="41"/>
        <v>0.3931406313568222</v>
      </c>
    </row>
    <row r="424" spans="1:11" x14ac:dyDescent="0.35">
      <c r="A424" s="2" t="s">
        <v>6</v>
      </c>
      <c r="B424" s="2">
        <v>421</v>
      </c>
      <c r="C424" s="2">
        <v>421</v>
      </c>
      <c r="D424" s="14">
        <v>16.600000000000001</v>
      </c>
      <c r="E424" s="1">
        <f t="shared" si="36"/>
        <v>-0.19444444444444473</v>
      </c>
      <c r="F424">
        <f t="shared" si="37"/>
        <v>0</v>
      </c>
      <c r="G424">
        <f t="shared" si="38"/>
        <v>154.50128978511481</v>
      </c>
      <c r="I424">
        <f t="shared" si="39"/>
        <v>5.5555555555555556E-4</v>
      </c>
      <c r="J424">
        <f t="shared" si="40"/>
        <v>0</v>
      </c>
      <c r="K424">
        <f t="shared" si="41"/>
        <v>0.37080309548427554</v>
      </c>
    </row>
    <row r="425" spans="1:11" x14ac:dyDescent="0.35">
      <c r="A425" s="2" t="s">
        <v>6</v>
      </c>
      <c r="B425" s="2">
        <v>422</v>
      </c>
      <c r="C425" s="2">
        <v>422</v>
      </c>
      <c r="D425" s="14">
        <v>16.2</v>
      </c>
      <c r="E425" s="1">
        <f t="shared" si="36"/>
        <v>-2.7777777777778172E-2</v>
      </c>
      <c r="F425">
        <f t="shared" si="37"/>
        <v>56.922296333333144</v>
      </c>
      <c r="G425">
        <f t="shared" si="38"/>
        <v>150.77836713969035</v>
      </c>
      <c r="I425">
        <f t="shared" si="39"/>
        <v>5.5555555555555556E-4</v>
      </c>
      <c r="J425">
        <f t="shared" si="40"/>
        <v>7.905874490740715E-2</v>
      </c>
      <c r="K425">
        <f t="shared" si="41"/>
        <v>0.36186808113525687</v>
      </c>
    </row>
    <row r="426" spans="1:11" x14ac:dyDescent="0.35">
      <c r="A426" s="2" t="s">
        <v>6</v>
      </c>
      <c r="B426" s="2">
        <v>423</v>
      </c>
      <c r="C426" s="2">
        <v>423</v>
      </c>
      <c r="D426" s="14">
        <v>16.399999999999999</v>
      </c>
      <c r="E426" s="1">
        <f t="shared" si="36"/>
        <v>0.1388888888888889</v>
      </c>
      <c r="F426">
        <f t="shared" si="37"/>
        <v>132.98412162962964</v>
      </c>
      <c r="G426">
        <f t="shared" si="38"/>
        <v>152.63982846240253</v>
      </c>
      <c r="I426">
        <f t="shared" si="39"/>
        <v>5.5555555555555556E-4</v>
      </c>
      <c r="J426">
        <f t="shared" si="40"/>
        <v>0.18470016893004118</v>
      </c>
      <c r="K426">
        <f t="shared" si="41"/>
        <v>0.36633558830976609</v>
      </c>
    </row>
    <row r="427" spans="1:11" x14ac:dyDescent="0.35">
      <c r="A427" s="2" t="s">
        <v>6</v>
      </c>
      <c r="B427" s="2">
        <v>424</v>
      </c>
      <c r="C427" s="2">
        <v>424</v>
      </c>
      <c r="D427" s="14">
        <v>17.2</v>
      </c>
      <c r="E427" s="1">
        <f t="shared" si="36"/>
        <v>0.37500000000000039</v>
      </c>
      <c r="F427">
        <f t="shared" si="37"/>
        <v>240.90567540740753</v>
      </c>
      <c r="G427">
        <f t="shared" si="38"/>
        <v>160.08567375325146</v>
      </c>
      <c r="I427">
        <f t="shared" si="39"/>
        <v>5.5555555555555556E-4</v>
      </c>
      <c r="J427">
        <f t="shared" si="40"/>
        <v>0.33459121584362156</v>
      </c>
      <c r="K427">
        <f t="shared" si="41"/>
        <v>0.38420561700780353</v>
      </c>
    </row>
    <row r="428" spans="1:11" x14ac:dyDescent="0.35">
      <c r="A428" s="2" t="s">
        <v>6</v>
      </c>
      <c r="B428" s="2">
        <v>425</v>
      </c>
      <c r="C428" s="2">
        <v>425</v>
      </c>
      <c r="D428" s="14">
        <v>19.100000000000001</v>
      </c>
      <c r="E428" s="1">
        <f t="shared" si="36"/>
        <v>0.75000000000000022</v>
      </c>
      <c r="F428">
        <f t="shared" si="37"/>
        <v>412.55967704629637</v>
      </c>
      <c r="G428">
        <f t="shared" si="38"/>
        <v>177.76955631901762</v>
      </c>
      <c r="I428">
        <f t="shared" si="39"/>
        <v>5.5555555555555556E-4</v>
      </c>
      <c r="J428">
        <f t="shared" si="40"/>
        <v>0.57299955145318937</v>
      </c>
      <c r="K428">
        <f t="shared" si="41"/>
        <v>0.42664693516564234</v>
      </c>
    </row>
    <row r="429" spans="1:11" x14ac:dyDescent="0.35">
      <c r="A429" s="2" t="s">
        <v>6</v>
      </c>
      <c r="B429" s="2">
        <v>426</v>
      </c>
      <c r="C429" s="2">
        <v>426</v>
      </c>
      <c r="D429" s="14">
        <v>22.6</v>
      </c>
      <c r="E429" s="1">
        <f t="shared" si="36"/>
        <v>1.1527777777777775</v>
      </c>
      <c r="F429">
        <f t="shared" si="37"/>
        <v>597.61030107407396</v>
      </c>
      <c r="G429">
        <f t="shared" si="38"/>
        <v>210.34512946648158</v>
      </c>
      <c r="I429">
        <f t="shared" si="39"/>
        <v>5.5555555555555556E-4</v>
      </c>
      <c r="J429">
        <f t="shared" si="40"/>
        <v>0.83001430704732493</v>
      </c>
      <c r="K429">
        <f t="shared" si="41"/>
        <v>0.50482831071955581</v>
      </c>
    </row>
    <row r="430" spans="1:11" x14ac:dyDescent="0.35">
      <c r="A430" s="2" t="s">
        <v>6</v>
      </c>
      <c r="B430" s="2">
        <v>427</v>
      </c>
      <c r="C430" s="2">
        <v>427</v>
      </c>
      <c r="D430" s="14">
        <v>27.4</v>
      </c>
      <c r="E430" s="1">
        <f t="shared" si="36"/>
        <v>1.25</v>
      </c>
      <c r="F430">
        <f t="shared" si="37"/>
        <v>644.21941218518509</v>
      </c>
      <c r="G430">
        <f t="shared" si="38"/>
        <v>255.020201211575</v>
      </c>
      <c r="I430">
        <f t="shared" si="39"/>
        <v>5.5555555555555556E-4</v>
      </c>
      <c r="J430">
        <f t="shared" si="40"/>
        <v>0.8947491835905349</v>
      </c>
      <c r="K430">
        <f t="shared" si="41"/>
        <v>0.61204848290778002</v>
      </c>
    </row>
    <row r="431" spans="1:11" x14ac:dyDescent="0.35">
      <c r="A431" s="2" t="s">
        <v>6</v>
      </c>
      <c r="B431" s="2">
        <v>428</v>
      </c>
      <c r="C431" s="2">
        <v>428</v>
      </c>
      <c r="D431" s="14">
        <v>31.6</v>
      </c>
      <c r="E431" s="1">
        <f t="shared" si="36"/>
        <v>0.83333333333333326</v>
      </c>
      <c r="F431">
        <f t="shared" si="37"/>
        <v>456.56915274074072</v>
      </c>
      <c r="G431">
        <f t="shared" si="38"/>
        <v>294.11088898853177</v>
      </c>
      <c r="I431">
        <f t="shared" si="39"/>
        <v>5.5555555555555556E-4</v>
      </c>
      <c r="J431">
        <f t="shared" si="40"/>
        <v>0.63412382325102878</v>
      </c>
      <c r="K431">
        <f t="shared" si="41"/>
        <v>0.7058661335724763</v>
      </c>
    </row>
    <row r="432" spans="1:11" x14ac:dyDescent="0.35">
      <c r="A432" s="2" t="s">
        <v>6</v>
      </c>
      <c r="B432" s="2">
        <v>429</v>
      </c>
      <c r="C432" s="2">
        <v>429</v>
      </c>
      <c r="D432" s="14">
        <v>33.4</v>
      </c>
      <c r="E432" s="1">
        <f t="shared" si="36"/>
        <v>0.26388888888888867</v>
      </c>
      <c r="F432">
        <f t="shared" si="37"/>
        <v>198.01192774074062</v>
      </c>
      <c r="G432">
        <f t="shared" si="38"/>
        <v>310.86404089294177</v>
      </c>
      <c r="I432">
        <f t="shared" si="39"/>
        <v>5.5555555555555556E-4</v>
      </c>
      <c r="J432">
        <f t="shared" si="40"/>
        <v>0.27501656630658416</v>
      </c>
      <c r="K432">
        <f t="shared" si="41"/>
        <v>0.74607369814306035</v>
      </c>
    </row>
    <row r="433" spans="1:11" x14ac:dyDescent="0.35">
      <c r="A433" s="2" t="s">
        <v>6</v>
      </c>
      <c r="B433" s="2">
        <v>430</v>
      </c>
      <c r="C433" s="2">
        <v>430</v>
      </c>
      <c r="D433" s="14">
        <v>33.5</v>
      </c>
      <c r="E433" s="1">
        <f t="shared" si="36"/>
        <v>-8.3333333333333523E-2</v>
      </c>
      <c r="F433">
        <f t="shared" si="37"/>
        <v>39.74203171296287</v>
      </c>
      <c r="G433">
        <f t="shared" si="38"/>
        <v>311.79477155429794</v>
      </c>
      <c r="I433">
        <f t="shared" si="39"/>
        <v>5.5555555555555556E-4</v>
      </c>
      <c r="J433">
        <f t="shared" si="40"/>
        <v>5.5197266268003989E-2</v>
      </c>
      <c r="K433">
        <f t="shared" si="41"/>
        <v>0.7483074517303151</v>
      </c>
    </row>
    <row r="434" spans="1:11" x14ac:dyDescent="0.35">
      <c r="A434" s="2" t="s">
        <v>6</v>
      </c>
      <c r="B434" s="2">
        <v>431</v>
      </c>
      <c r="C434" s="2">
        <v>431</v>
      </c>
      <c r="D434" s="14">
        <v>32.799999999999997</v>
      </c>
      <c r="E434" s="1">
        <f t="shared" si="36"/>
        <v>-0.2222222222222224</v>
      </c>
      <c r="F434">
        <f t="shared" si="37"/>
        <v>0</v>
      </c>
      <c r="G434">
        <f t="shared" si="38"/>
        <v>305.27965692480507</v>
      </c>
      <c r="I434">
        <f t="shared" si="39"/>
        <v>5.5555555555555556E-4</v>
      </c>
      <c r="J434">
        <f t="shared" si="40"/>
        <v>0</v>
      </c>
      <c r="K434">
        <f t="shared" si="41"/>
        <v>0.73267117661953218</v>
      </c>
    </row>
    <row r="435" spans="1:11" x14ac:dyDescent="0.35">
      <c r="A435" s="2" t="s">
        <v>6</v>
      </c>
      <c r="B435" s="2">
        <v>432</v>
      </c>
      <c r="C435" s="2">
        <v>432</v>
      </c>
      <c r="D435" s="14">
        <v>31.9</v>
      </c>
      <c r="E435" s="1">
        <f t="shared" si="36"/>
        <v>-0.20833333333333284</v>
      </c>
      <c r="F435">
        <f t="shared" si="37"/>
        <v>0</v>
      </c>
      <c r="G435">
        <f t="shared" si="38"/>
        <v>296.90308097260009</v>
      </c>
      <c r="I435">
        <f t="shared" si="39"/>
        <v>5.5555555555555556E-4</v>
      </c>
      <c r="J435">
        <f t="shared" si="40"/>
        <v>0</v>
      </c>
      <c r="K435">
        <f t="shared" si="41"/>
        <v>0.71256739433424021</v>
      </c>
    </row>
    <row r="436" spans="1:11" x14ac:dyDescent="0.35">
      <c r="A436" s="2" t="s">
        <v>6</v>
      </c>
      <c r="B436" s="2">
        <v>433</v>
      </c>
      <c r="C436" s="2">
        <v>433</v>
      </c>
      <c r="D436" s="14">
        <v>31.3</v>
      </c>
      <c r="E436" s="1">
        <f t="shared" si="36"/>
        <v>-0.11111111111111072</v>
      </c>
      <c r="F436">
        <f t="shared" si="37"/>
        <v>25.723553046296473</v>
      </c>
      <c r="G436">
        <f t="shared" si="38"/>
        <v>291.31869700446344</v>
      </c>
      <c r="I436">
        <f t="shared" si="39"/>
        <v>5.5555555555555556E-4</v>
      </c>
      <c r="J436">
        <f t="shared" si="40"/>
        <v>3.5727157008745104E-2</v>
      </c>
      <c r="K436">
        <f t="shared" si="41"/>
        <v>0.69916487281071238</v>
      </c>
    </row>
    <row r="437" spans="1:11" x14ac:dyDescent="0.35">
      <c r="A437" s="2" t="s">
        <v>6</v>
      </c>
      <c r="B437" s="2">
        <v>434</v>
      </c>
      <c r="C437" s="2">
        <v>434</v>
      </c>
      <c r="D437" s="14">
        <v>31.1</v>
      </c>
      <c r="E437" s="1">
        <f t="shared" si="36"/>
        <v>-9.7222222222222127E-2</v>
      </c>
      <c r="F437">
        <f t="shared" si="37"/>
        <v>31.938545935185228</v>
      </c>
      <c r="G437">
        <f t="shared" si="38"/>
        <v>289.45723568175117</v>
      </c>
      <c r="I437">
        <f t="shared" si="39"/>
        <v>5.5555555555555556E-4</v>
      </c>
      <c r="J437">
        <f t="shared" si="40"/>
        <v>4.4359091576646151E-2</v>
      </c>
      <c r="K437">
        <f t="shared" si="41"/>
        <v>0.69469736563620288</v>
      </c>
    </row>
    <row r="438" spans="1:11" x14ac:dyDescent="0.35">
      <c r="A438" s="2" t="s">
        <v>6</v>
      </c>
      <c r="B438" s="2">
        <v>435</v>
      </c>
      <c r="C438" s="2">
        <v>435</v>
      </c>
      <c r="D438" s="14">
        <v>30.6</v>
      </c>
      <c r="E438" s="1">
        <f t="shared" si="36"/>
        <v>-0.26388888888888917</v>
      </c>
      <c r="F438">
        <f t="shared" si="37"/>
        <v>0</v>
      </c>
      <c r="G438">
        <f t="shared" si="38"/>
        <v>284.80358237497063</v>
      </c>
      <c r="I438">
        <f t="shared" si="39"/>
        <v>5.5555555555555556E-4</v>
      </c>
      <c r="J438">
        <f t="shared" si="40"/>
        <v>0</v>
      </c>
      <c r="K438">
        <f t="shared" si="41"/>
        <v>0.68352859769992957</v>
      </c>
    </row>
    <row r="439" spans="1:11" x14ac:dyDescent="0.35">
      <c r="A439" s="2" t="s">
        <v>6</v>
      </c>
      <c r="B439" s="2">
        <v>436</v>
      </c>
      <c r="C439" s="2">
        <v>436</v>
      </c>
      <c r="D439" s="14">
        <v>29.2</v>
      </c>
      <c r="E439" s="1">
        <f t="shared" si="36"/>
        <v>-0.54166666666666696</v>
      </c>
      <c r="F439">
        <f t="shared" si="37"/>
        <v>0</v>
      </c>
      <c r="G439">
        <f t="shared" si="38"/>
        <v>271.77335311598506</v>
      </c>
      <c r="I439">
        <f t="shared" si="39"/>
        <v>5.5555555555555556E-4</v>
      </c>
      <c r="J439">
        <f t="shared" si="40"/>
        <v>0</v>
      </c>
      <c r="K439">
        <f t="shared" si="41"/>
        <v>0.65225604747836408</v>
      </c>
    </row>
    <row r="440" spans="1:11" x14ac:dyDescent="0.35">
      <c r="A440" s="2" t="s">
        <v>6</v>
      </c>
      <c r="B440" s="2">
        <v>437</v>
      </c>
      <c r="C440" s="2">
        <v>437</v>
      </c>
      <c r="D440" s="14">
        <v>26.7</v>
      </c>
      <c r="E440" s="1">
        <f t="shared" si="36"/>
        <v>-0.86111111111111094</v>
      </c>
      <c r="F440">
        <f t="shared" si="37"/>
        <v>0</v>
      </c>
      <c r="G440">
        <f t="shared" si="38"/>
        <v>248.50508658208221</v>
      </c>
      <c r="I440">
        <f t="shared" si="39"/>
        <v>5.5555555555555556E-4</v>
      </c>
      <c r="J440">
        <f t="shared" si="40"/>
        <v>0</v>
      </c>
      <c r="K440">
        <f t="shared" si="41"/>
        <v>0.59641220779699733</v>
      </c>
    </row>
    <row r="441" spans="1:11" x14ac:dyDescent="0.35">
      <c r="A441" s="2" t="s">
        <v>6</v>
      </c>
      <c r="B441" s="2">
        <v>438</v>
      </c>
      <c r="C441" s="2">
        <v>438</v>
      </c>
      <c r="D441" s="14">
        <v>23</v>
      </c>
      <c r="E441" s="1">
        <f t="shared" si="36"/>
        <v>-1.1805555555555556</v>
      </c>
      <c r="F441">
        <f t="shared" si="37"/>
        <v>0</v>
      </c>
      <c r="G441">
        <f t="shared" si="38"/>
        <v>214.06805211190604</v>
      </c>
      <c r="I441">
        <f t="shared" si="39"/>
        <v>5.5555555555555556E-4</v>
      </c>
      <c r="J441">
        <f t="shared" si="40"/>
        <v>0</v>
      </c>
      <c r="K441">
        <f t="shared" si="41"/>
        <v>0.51376332506857447</v>
      </c>
    </row>
    <row r="442" spans="1:11" x14ac:dyDescent="0.35">
      <c r="A442" s="2" t="s">
        <v>6</v>
      </c>
      <c r="B442" s="2">
        <v>439</v>
      </c>
      <c r="C442" s="2">
        <v>439</v>
      </c>
      <c r="D442" s="14">
        <v>18.2</v>
      </c>
      <c r="E442" s="1">
        <f t="shared" si="36"/>
        <v>-1.4027777777777777</v>
      </c>
      <c r="F442">
        <f t="shared" si="37"/>
        <v>0</v>
      </c>
      <c r="G442">
        <f t="shared" si="38"/>
        <v>169.39298036681259</v>
      </c>
      <c r="I442">
        <f t="shared" si="39"/>
        <v>5.5555555555555556E-4</v>
      </c>
      <c r="J442">
        <f t="shared" si="40"/>
        <v>0</v>
      </c>
      <c r="K442">
        <f t="shared" si="41"/>
        <v>0.4065431528803502</v>
      </c>
    </row>
    <row r="443" spans="1:11" x14ac:dyDescent="0.35">
      <c r="A443" s="2" t="s">
        <v>6</v>
      </c>
      <c r="B443" s="2">
        <v>440</v>
      </c>
      <c r="C443" s="2">
        <v>440</v>
      </c>
      <c r="D443" s="14">
        <v>12.9</v>
      </c>
      <c r="E443" s="1">
        <f t="shared" si="36"/>
        <v>-1.4583333333333333</v>
      </c>
      <c r="F443">
        <f t="shared" si="37"/>
        <v>0</v>
      </c>
      <c r="G443">
        <f t="shared" si="38"/>
        <v>120.06425531493859</v>
      </c>
      <c r="I443">
        <f t="shared" si="39"/>
        <v>5.5555555555555556E-4</v>
      </c>
      <c r="J443">
        <f t="shared" si="40"/>
        <v>0</v>
      </c>
      <c r="K443">
        <f t="shared" si="41"/>
        <v>0.28815421275585262</v>
      </c>
    </row>
    <row r="444" spans="1:11" x14ac:dyDescent="0.35">
      <c r="A444" s="2" t="s">
        <v>6</v>
      </c>
      <c r="B444" s="2">
        <v>441</v>
      </c>
      <c r="C444" s="2">
        <v>441</v>
      </c>
      <c r="D444" s="14">
        <v>7.7</v>
      </c>
      <c r="E444" s="1">
        <f t="shared" si="36"/>
        <v>-1.2638888888888891</v>
      </c>
      <c r="F444">
        <f t="shared" si="37"/>
        <v>0</v>
      </c>
      <c r="G444">
        <f t="shared" si="38"/>
        <v>71.666260924420712</v>
      </c>
      <c r="I444">
        <f t="shared" si="39"/>
        <v>5.5555555555555556E-4</v>
      </c>
      <c r="J444">
        <f t="shared" si="40"/>
        <v>0</v>
      </c>
      <c r="K444">
        <f t="shared" si="41"/>
        <v>0.17199902621860971</v>
      </c>
    </row>
    <row r="445" spans="1:11" x14ac:dyDescent="0.35">
      <c r="A445" s="2" t="s">
        <v>6</v>
      </c>
      <c r="B445" s="2">
        <v>442</v>
      </c>
      <c r="C445" s="2">
        <v>442</v>
      </c>
      <c r="D445" s="14">
        <v>3.8</v>
      </c>
      <c r="E445" s="1">
        <f t="shared" si="36"/>
        <v>-0.88888888888888895</v>
      </c>
      <c r="F445">
        <f t="shared" si="37"/>
        <v>0</v>
      </c>
      <c r="G445">
        <f t="shared" si="38"/>
        <v>35.367765131532302</v>
      </c>
      <c r="I445">
        <f t="shared" si="39"/>
        <v>5.5555555555555556E-4</v>
      </c>
      <c r="J445">
        <f t="shared" si="40"/>
        <v>0</v>
      </c>
      <c r="K445">
        <f t="shared" si="41"/>
        <v>8.4882636315677523E-2</v>
      </c>
    </row>
    <row r="446" spans="1:11" x14ac:dyDescent="0.35">
      <c r="A446" s="2" t="s">
        <v>6</v>
      </c>
      <c r="B446" s="2">
        <v>443</v>
      </c>
      <c r="C446" s="2">
        <v>443</v>
      </c>
      <c r="D446" s="14">
        <v>1.3</v>
      </c>
      <c r="E446" s="1">
        <f t="shared" si="36"/>
        <v>-0.49999999999999994</v>
      </c>
      <c r="F446">
        <f t="shared" si="37"/>
        <v>0</v>
      </c>
      <c r="G446">
        <f t="shared" si="38"/>
        <v>12.099498597629472</v>
      </c>
      <c r="I446">
        <f t="shared" si="39"/>
        <v>5.5555555555555556E-4</v>
      </c>
      <c r="J446">
        <f t="shared" si="40"/>
        <v>0</v>
      </c>
      <c r="K446">
        <f t="shared" si="41"/>
        <v>2.9038796634310731E-2</v>
      </c>
    </row>
    <row r="447" spans="1:11" x14ac:dyDescent="0.35">
      <c r="A447" s="2" t="s">
        <v>6</v>
      </c>
      <c r="B447" s="2">
        <v>444</v>
      </c>
      <c r="C447" s="2">
        <v>444</v>
      </c>
      <c r="D447" s="14">
        <v>0.2</v>
      </c>
      <c r="E447" s="1">
        <f t="shared" si="36"/>
        <v>-0.18055555555555555</v>
      </c>
      <c r="F447">
        <f t="shared" si="37"/>
        <v>0</v>
      </c>
      <c r="G447">
        <f t="shared" si="38"/>
        <v>1.8614613227122263</v>
      </c>
      <c r="I447">
        <f t="shared" si="39"/>
        <v>5.5555555555555556E-4</v>
      </c>
      <c r="J447">
        <f t="shared" si="40"/>
        <v>0</v>
      </c>
      <c r="K447">
        <f t="shared" si="41"/>
        <v>4.4675071745093435E-3</v>
      </c>
    </row>
    <row r="448" spans="1:11" x14ac:dyDescent="0.35">
      <c r="A448" s="2" t="s">
        <v>6</v>
      </c>
      <c r="B448" s="2">
        <v>445</v>
      </c>
      <c r="C448" s="2">
        <v>445</v>
      </c>
      <c r="D448" s="14">
        <v>0</v>
      </c>
      <c r="E448" s="1">
        <f t="shared" si="36"/>
        <v>-2.777777777777778E-2</v>
      </c>
      <c r="F448">
        <f t="shared" si="37"/>
        <v>0</v>
      </c>
      <c r="G448">
        <f t="shared" si="38"/>
        <v>0</v>
      </c>
      <c r="I448">
        <f t="shared" si="39"/>
        <v>5.5555555555555556E-4</v>
      </c>
      <c r="J448">
        <f t="shared" si="40"/>
        <v>0</v>
      </c>
      <c r="K448">
        <f t="shared" si="41"/>
        <v>0</v>
      </c>
    </row>
    <row r="449" spans="1:11" x14ac:dyDescent="0.35">
      <c r="A449" s="2" t="s">
        <v>6</v>
      </c>
      <c r="B449" s="2">
        <v>446</v>
      </c>
      <c r="C449" s="2">
        <v>446</v>
      </c>
      <c r="D449" s="14">
        <v>0</v>
      </c>
      <c r="E449" s="1">
        <f t="shared" si="36"/>
        <v>0</v>
      </c>
      <c r="F449">
        <f t="shared" si="37"/>
        <v>0</v>
      </c>
      <c r="G449">
        <f t="shared" si="38"/>
        <v>0</v>
      </c>
      <c r="I449">
        <f t="shared" si="39"/>
        <v>5.5555555555555556E-4</v>
      </c>
      <c r="J449">
        <f t="shared" si="40"/>
        <v>0</v>
      </c>
      <c r="K449">
        <f t="shared" si="41"/>
        <v>0</v>
      </c>
    </row>
    <row r="450" spans="1:11" x14ac:dyDescent="0.35">
      <c r="A450" s="2" t="s">
        <v>6</v>
      </c>
      <c r="B450" s="2">
        <v>447</v>
      </c>
      <c r="C450" s="2">
        <v>447</v>
      </c>
      <c r="D450" s="14">
        <v>0</v>
      </c>
      <c r="E450" s="1">
        <f t="shared" si="36"/>
        <v>0</v>
      </c>
      <c r="F450">
        <f t="shared" si="37"/>
        <v>0</v>
      </c>
      <c r="G450">
        <f t="shared" si="38"/>
        <v>0</v>
      </c>
      <c r="I450">
        <f t="shared" si="39"/>
        <v>5.5555555555555556E-4</v>
      </c>
      <c r="J450">
        <f t="shared" si="40"/>
        <v>0</v>
      </c>
      <c r="K450">
        <f t="shared" si="41"/>
        <v>0</v>
      </c>
    </row>
    <row r="451" spans="1:11" x14ac:dyDescent="0.35">
      <c r="A451" s="2" t="s">
        <v>6</v>
      </c>
      <c r="B451" s="2">
        <v>448</v>
      </c>
      <c r="C451" s="2">
        <v>448</v>
      </c>
      <c r="D451" s="14">
        <v>0</v>
      </c>
      <c r="E451" s="1">
        <f t="shared" si="36"/>
        <v>0</v>
      </c>
      <c r="F451">
        <f t="shared" si="37"/>
        <v>0</v>
      </c>
      <c r="G451">
        <f t="shared" si="38"/>
        <v>0</v>
      </c>
      <c r="I451">
        <f t="shared" si="39"/>
        <v>5.5555555555555556E-4</v>
      </c>
      <c r="J451">
        <f t="shared" si="40"/>
        <v>0</v>
      </c>
      <c r="K451">
        <f t="shared" si="41"/>
        <v>0</v>
      </c>
    </row>
    <row r="452" spans="1:11" x14ac:dyDescent="0.35">
      <c r="A452" s="2" t="s">
        <v>6</v>
      </c>
      <c r="B452" s="2">
        <v>449</v>
      </c>
      <c r="C452" s="2">
        <v>449</v>
      </c>
      <c r="D452" s="14">
        <v>0</v>
      </c>
      <c r="E452" s="1">
        <f t="shared" si="36"/>
        <v>0</v>
      </c>
      <c r="F452">
        <f t="shared" si="37"/>
        <v>0</v>
      </c>
      <c r="G452">
        <f t="shared" si="38"/>
        <v>0</v>
      </c>
      <c r="I452">
        <f t="shared" si="39"/>
        <v>5.5555555555555556E-4</v>
      </c>
      <c r="J452">
        <f t="shared" si="40"/>
        <v>0</v>
      </c>
      <c r="K452">
        <f t="shared" si="41"/>
        <v>0</v>
      </c>
    </row>
    <row r="453" spans="1:11" x14ac:dyDescent="0.35">
      <c r="A453" s="2" t="s">
        <v>6</v>
      </c>
      <c r="B453" s="2">
        <v>450</v>
      </c>
      <c r="C453" s="2">
        <v>450</v>
      </c>
      <c r="D453" s="14">
        <v>0</v>
      </c>
      <c r="E453" s="1">
        <f t="shared" ref="E453:E516" si="42">($D454-$D452)/2/3.6</f>
        <v>0</v>
      </c>
      <c r="F453">
        <f t="shared" ref="F453:F516" si="43">IF(D453=0,0,MAX(0,0.285*(1600*E453 + 1600*9.81*0.015 + 0.5*1.225*0.32*2.2*(D453/3.6)^2)))</f>
        <v>0</v>
      </c>
      <c r="G453">
        <f t="shared" ref="G453:G516" si="44">60*D453/(2*PI()*3.6*0.285)</f>
        <v>0</v>
      </c>
      <c r="I453">
        <f t="shared" ref="I453:I516" si="45">1/1800</f>
        <v>5.5555555555555556E-4</v>
      </c>
      <c r="J453">
        <f t="shared" ref="J453:J516" si="46">F453/(M$3*3.6)</f>
        <v>0</v>
      </c>
      <c r="K453">
        <f t="shared" ref="K453:K516" si="47">G453*3.6/N$3</f>
        <v>0</v>
      </c>
    </row>
    <row r="454" spans="1:11" x14ac:dyDescent="0.35">
      <c r="A454" s="2" t="s">
        <v>6</v>
      </c>
      <c r="B454" s="2">
        <v>451</v>
      </c>
      <c r="C454" s="2">
        <v>451</v>
      </c>
      <c r="D454" s="14">
        <v>0</v>
      </c>
      <c r="E454" s="1">
        <f t="shared" si="42"/>
        <v>0</v>
      </c>
      <c r="F454">
        <f t="shared" si="43"/>
        <v>0</v>
      </c>
      <c r="G454">
        <f t="shared" si="44"/>
        <v>0</v>
      </c>
      <c r="I454">
        <f t="shared" si="45"/>
        <v>5.5555555555555556E-4</v>
      </c>
      <c r="J454">
        <f t="shared" si="46"/>
        <v>0</v>
      </c>
      <c r="K454">
        <f t="shared" si="47"/>
        <v>0</v>
      </c>
    </row>
    <row r="455" spans="1:11" x14ac:dyDescent="0.35">
      <c r="A455" s="2" t="s">
        <v>6</v>
      </c>
      <c r="B455" s="2">
        <v>452</v>
      </c>
      <c r="C455" s="2">
        <v>452</v>
      </c>
      <c r="D455" s="14">
        <v>0</v>
      </c>
      <c r="E455" s="1">
        <f t="shared" si="42"/>
        <v>0</v>
      </c>
      <c r="F455">
        <f t="shared" si="43"/>
        <v>0</v>
      </c>
      <c r="G455">
        <f t="shared" si="44"/>
        <v>0</v>
      </c>
      <c r="I455">
        <f t="shared" si="45"/>
        <v>5.5555555555555556E-4</v>
      </c>
      <c r="J455">
        <f t="shared" si="46"/>
        <v>0</v>
      </c>
      <c r="K455">
        <f t="shared" si="47"/>
        <v>0</v>
      </c>
    </row>
    <row r="456" spans="1:11" x14ac:dyDescent="0.35">
      <c r="A456" s="2" t="s">
        <v>6</v>
      </c>
      <c r="B456" s="2">
        <v>453</v>
      </c>
      <c r="C456" s="2">
        <v>453</v>
      </c>
      <c r="D456" s="14">
        <v>0</v>
      </c>
      <c r="E456" s="1">
        <f t="shared" si="42"/>
        <v>0</v>
      </c>
      <c r="F456">
        <f t="shared" si="43"/>
        <v>0</v>
      </c>
      <c r="G456">
        <f t="shared" si="44"/>
        <v>0</v>
      </c>
      <c r="I456">
        <f t="shared" si="45"/>
        <v>5.5555555555555556E-4</v>
      </c>
      <c r="J456">
        <f t="shared" si="46"/>
        <v>0</v>
      </c>
      <c r="K456">
        <f t="shared" si="47"/>
        <v>0</v>
      </c>
    </row>
    <row r="457" spans="1:11" x14ac:dyDescent="0.35">
      <c r="A457" s="2" t="s">
        <v>6</v>
      </c>
      <c r="B457" s="2">
        <v>454</v>
      </c>
      <c r="C457" s="2">
        <v>454</v>
      </c>
      <c r="D457" s="14">
        <v>0</v>
      </c>
      <c r="E457" s="1">
        <f t="shared" si="42"/>
        <v>0</v>
      </c>
      <c r="F457">
        <f t="shared" si="43"/>
        <v>0</v>
      </c>
      <c r="G457">
        <f t="shared" si="44"/>
        <v>0</v>
      </c>
      <c r="I457">
        <f t="shared" si="45"/>
        <v>5.5555555555555556E-4</v>
      </c>
      <c r="J457">
        <f t="shared" si="46"/>
        <v>0</v>
      </c>
      <c r="K457">
        <f t="shared" si="47"/>
        <v>0</v>
      </c>
    </row>
    <row r="458" spans="1:11" x14ac:dyDescent="0.35">
      <c r="A458" s="2" t="s">
        <v>6</v>
      </c>
      <c r="B458" s="2">
        <v>455</v>
      </c>
      <c r="C458" s="2">
        <v>455</v>
      </c>
      <c r="D458" s="14">
        <v>0</v>
      </c>
      <c r="E458" s="1">
        <f t="shared" si="42"/>
        <v>0</v>
      </c>
      <c r="F458">
        <f t="shared" si="43"/>
        <v>0</v>
      </c>
      <c r="G458">
        <f t="shared" si="44"/>
        <v>0</v>
      </c>
      <c r="I458">
        <f t="shared" si="45"/>
        <v>5.5555555555555556E-4</v>
      </c>
      <c r="J458">
        <f t="shared" si="46"/>
        <v>0</v>
      </c>
      <c r="K458">
        <f t="shared" si="47"/>
        <v>0</v>
      </c>
    </row>
    <row r="459" spans="1:11" x14ac:dyDescent="0.35">
      <c r="A459" s="2" t="s">
        <v>6</v>
      </c>
      <c r="B459" s="2">
        <v>456</v>
      </c>
      <c r="C459" s="2">
        <v>456</v>
      </c>
      <c r="D459" s="14">
        <v>0</v>
      </c>
      <c r="E459" s="1">
        <f t="shared" si="42"/>
        <v>0</v>
      </c>
      <c r="F459">
        <f t="shared" si="43"/>
        <v>0</v>
      </c>
      <c r="G459">
        <f t="shared" si="44"/>
        <v>0</v>
      </c>
      <c r="I459">
        <f t="shared" si="45"/>
        <v>5.5555555555555556E-4</v>
      </c>
      <c r="J459">
        <f t="shared" si="46"/>
        <v>0</v>
      </c>
      <c r="K459">
        <f t="shared" si="47"/>
        <v>0</v>
      </c>
    </row>
    <row r="460" spans="1:11" x14ac:dyDescent="0.35">
      <c r="A460" s="2" t="s">
        <v>6</v>
      </c>
      <c r="B460" s="2">
        <v>457</v>
      </c>
      <c r="C460" s="2">
        <v>457</v>
      </c>
      <c r="D460" s="14">
        <v>0</v>
      </c>
      <c r="E460" s="1">
        <f t="shared" si="42"/>
        <v>0</v>
      </c>
      <c r="F460">
        <f t="shared" si="43"/>
        <v>0</v>
      </c>
      <c r="G460">
        <f t="shared" si="44"/>
        <v>0</v>
      </c>
      <c r="I460">
        <f t="shared" si="45"/>
        <v>5.5555555555555556E-4</v>
      </c>
      <c r="J460">
        <f t="shared" si="46"/>
        <v>0</v>
      </c>
      <c r="K460">
        <f t="shared" si="47"/>
        <v>0</v>
      </c>
    </row>
    <row r="461" spans="1:11" x14ac:dyDescent="0.35">
      <c r="A461" s="2" t="s">
        <v>6</v>
      </c>
      <c r="B461" s="2">
        <v>458</v>
      </c>
      <c r="C461" s="2">
        <v>458</v>
      </c>
      <c r="D461" s="14">
        <v>0</v>
      </c>
      <c r="E461" s="1">
        <f t="shared" si="42"/>
        <v>0</v>
      </c>
      <c r="F461">
        <f t="shared" si="43"/>
        <v>0</v>
      </c>
      <c r="G461">
        <f t="shared" si="44"/>
        <v>0</v>
      </c>
      <c r="I461">
        <f t="shared" si="45"/>
        <v>5.5555555555555556E-4</v>
      </c>
      <c r="J461">
        <f t="shared" si="46"/>
        <v>0</v>
      </c>
      <c r="K461">
        <f t="shared" si="47"/>
        <v>0</v>
      </c>
    </row>
    <row r="462" spans="1:11" x14ac:dyDescent="0.35">
      <c r="A462" s="2" t="s">
        <v>6</v>
      </c>
      <c r="B462" s="2">
        <v>459</v>
      </c>
      <c r="C462" s="2">
        <v>459</v>
      </c>
      <c r="D462" s="14">
        <v>0</v>
      </c>
      <c r="E462" s="1">
        <f t="shared" si="42"/>
        <v>0</v>
      </c>
      <c r="F462">
        <f t="shared" si="43"/>
        <v>0</v>
      </c>
      <c r="G462">
        <f t="shared" si="44"/>
        <v>0</v>
      </c>
      <c r="I462">
        <f t="shared" si="45"/>
        <v>5.5555555555555556E-4</v>
      </c>
      <c r="J462">
        <f t="shared" si="46"/>
        <v>0</v>
      </c>
      <c r="K462">
        <f t="shared" si="47"/>
        <v>0</v>
      </c>
    </row>
    <row r="463" spans="1:11" x14ac:dyDescent="0.35">
      <c r="A463" s="2" t="s">
        <v>6</v>
      </c>
      <c r="B463" s="2">
        <v>460</v>
      </c>
      <c r="C463" s="2">
        <v>460</v>
      </c>
      <c r="D463" s="14">
        <v>0</v>
      </c>
      <c r="E463" s="1">
        <f t="shared" si="42"/>
        <v>0</v>
      </c>
      <c r="F463">
        <f t="shared" si="43"/>
        <v>0</v>
      </c>
      <c r="G463">
        <f t="shared" si="44"/>
        <v>0</v>
      </c>
      <c r="I463">
        <f t="shared" si="45"/>
        <v>5.5555555555555556E-4</v>
      </c>
      <c r="J463">
        <f t="shared" si="46"/>
        <v>0</v>
      </c>
      <c r="K463">
        <f t="shared" si="47"/>
        <v>0</v>
      </c>
    </row>
    <row r="464" spans="1:11" x14ac:dyDescent="0.35">
      <c r="A464" s="2" t="s">
        <v>6</v>
      </c>
      <c r="B464" s="2">
        <v>461</v>
      </c>
      <c r="C464" s="2">
        <v>461</v>
      </c>
      <c r="D464" s="14">
        <v>0</v>
      </c>
      <c r="E464" s="1">
        <f t="shared" si="42"/>
        <v>0</v>
      </c>
      <c r="F464">
        <f t="shared" si="43"/>
        <v>0</v>
      </c>
      <c r="G464">
        <f t="shared" si="44"/>
        <v>0</v>
      </c>
      <c r="I464">
        <f t="shared" si="45"/>
        <v>5.5555555555555556E-4</v>
      </c>
      <c r="J464">
        <f t="shared" si="46"/>
        <v>0</v>
      </c>
      <c r="K464">
        <f t="shared" si="47"/>
        <v>0</v>
      </c>
    </row>
    <row r="465" spans="1:11" x14ac:dyDescent="0.35">
      <c r="A465" s="2" t="s">
        <v>6</v>
      </c>
      <c r="B465" s="2">
        <v>462</v>
      </c>
      <c r="C465" s="2">
        <v>462</v>
      </c>
      <c r="D465" s="14">
        <v>0</v>
      </c>
      <c r="E465" s="1">
        <f t="shared" si="42"/>
        <v>0</v>
      </c>
      <c r="F465">
        <f t="shared" si="43"/>
        <v>0</v>
      </c>
      <c r="G465">
        <f t="shared" si="44"/>
        <v>0</v>
      </c>
      <c r="I465">
        <f t="shared" si="45"/>
        <v>5.5555555555555556E-4</v>
      </c>
      <c r="J465">
        <f t="shared" si="46"/>
        <v>0</v>
      </c>
      <c r="K465">
        <f t="shared" si="47"/>
        <v>0</v>
      </c>
    </row>
    <row r="466" spans="1:11" x14ac:dyDescent="0.35">
      <c r="A466" s="2" t="s">
        <v>6</v>
      </c>
      <c r="B466" s="2">
        <v>463</v>
      </c>
      <c r="C466" s="2">
        <v>463</v>
      </c>
      <c r="D466" s="14">
        <v>0</v>
      </c>
      <c r="E466" s="1">
        <f t="shared" si="42"/>
        <v>0</v>
      </c>
      <c r="F466">
        <f t="shared" si="43"/>
        <v>0</v>
      </c>
      <c r="G466">
        <f t="shared" si="44"/>
        <v>0</v>
      </c>
      <c r="I466">
        <f t="shared" si="45"/>
        <v>5.5555555555555556E-4</v>
      </c>
      <c r="J466">
        <f t="shared" si="46"/>
        <v>0</v>
      </c>
      <c r="K466">
        <f t="shared" si="47"/>
        <v>0</v>
      </c>
    </row>
    <row r="467" spans="1:11" x14ac:dyDescent="0.35">
      <c r="A467" s="2" t="s">
        <v>6</v>
      </c>
      <c r="B467" s="2">
        <v>464</v>
      </c>
      <c r="C467" s="2">
        <v>464</v>
      </c>
      <c r="D467" s="14">
        <v>0</v>
      </c>
      <c r="E467" s="1">
        <f t="shared" si="42"/>
        <v>0</v>
      </c>
      <c r="F467">
        <f t="shared" si="43"/>
        <v>0</v>
      </c>
      <c r="G467">
        <f t="shared" si="44"/>
        <v>0</v>
      </c>
      <c r="I467">
        <f t="shared" si="45"/>
        <v>5.5555555555555556E-4</v>
      </c>
      <c r="J467">
        <f t="shared" si="46"/>
        <v>0</v>
      </c>
      <c r="K467">
        <f t="shared" si="47"/>
        <v>0</v>
      </c>
    </row>
    <row r="468" spans="1:11" x14ac:dyDescent="0.35">
      <c r="A468" s="2" t="s">
        <v>6</v>
      </c>
      <c r="B468" s="2">
        <v>465</v>
      </c>
      <c r="C468" s="2">
        <v>465</v>
      </c>
      <c r="D468" s="14">
        <v>0</v>
      </c>
      <c r="E468" s="1">
        <f t="shared" si="42"/>
        <v>0</v>
      </c>
      <c r="F468">
        <f t="shared" si="43"/>
        <v>0</v>
      </c>
      <c r="G468">
        <f t="shared" si="44"/>
        <v>0</v>
      </c>
      <c r="I468">
        <f t="shared" si="45"/>
        <v>5.5555555555555556E-4</v>
      </c>
      <c r="J468">
        <f t="shared" si="46"/>
        <v>0</v>
      </c>
      <c r="K468">
        <f t="shared" si="47"/>
        <v>0</v>
      </c>
    </row>
    <row r="469" spans="1:11" x14ac:dyDescent="0.35">
      <c r="A469" s="2" t="s">
        <v>6</v>
      </c>
      <c r="B469" s="2">
        <v>466</v>
      </c>
      <c r="C469" s="2">
        <v>466</v>
      </c>
      <c r="D469" s="14">
        <v>0</v>
      </c>
      <c r="E469" s="1">
        <f t="shared" si="42"/>
        <v>0</v>
      </c>
      <c r="F469">
        <f t="shared" si="43"/>
        <v>0</v>
      </c>
      <c r="G469">
        <f t="shared" si="44"/>
        <v>0</v>
      </c>
      <c r="I469">
        <f t="shared" si="45"/>
        <v>5.5555555555555556E-4</v>
      </c>
      <c r="J469">
        <f t="shared" si="46"/>
        <v>0</v>
      </c>
      <c r="K469">
        <f t="shared" si="47"/>
        <v>0</v>
      </c>
    </row>
    <row r="470" spans="1:11" x14ac:dyDescent="0.35">
      <c r="A470" s="2" t="s">
        <v>6</v>
      </c>
      <c r="B470" s="2">
        <v>467</v>
      </c>
      <c r="C470" s="2">
        <v>467</v>
      </c>
      <c r="D470" s="14">
        <v>0</v>
      </c>
      <c r="E470" s="1">
        <f t="shared" si="42"/>
        <v>0</v>
      </c>
      <c r="F470">
        <f t="shared" si="43"/>
        <v>0</v>
      </c>
      <c r="G470">
        <f t="shared" si="44"/>
        <v>0</v>
      </c>
      <c r="I470">
        <f t="shared" si="45"/>
        <v>5.5555555555555556E-4</v>
      </c>
      <c r="J470">
        <f t="shared" si="46"/>
        <v>0</v>
      </c>
      <c r="K470">
        <f t="shared" si="47"/>
        <v>0</v>
      </c>
    </row>
    <row r="471" spans="1:11" x14ac:dyDescent="0.35">
      <c r="A471" s="2" t="s">
        <v>6</v>
      </c>
      <c r="B471" s="2">
        <v>468</v>
      </c>
      <c r="C471" s="2">
        <v>468</v>
      </c>
      <c r="D471" s="14">
        <v>0</v>
      </c>
      <c r="E471" s="1">
        <f t="shared" si="42"/>
        <v>0</v>
      </c>
      <c r="F471">
        <f t="shared" si="43"/>
        <v>0</v>
      </c>
      <c r="G471">
        <f t="shared" si="44"/>
        <v>0</v>
      </c>
      <c r="I471">
        <f t="shared" si="45"/>
        <v>5.5555555555555556E-4</v>
      </c>
      <c r="J471">
        <f t="shared" si="46"/>
        <v>0</v>
      </c>
      <c r="K471">
        <f t="shared" si="47"/>
        <v>0</v>
      </c>
    </row>
    <row r="472" spans="1:11" x14ac:dyDescent="0.35">
      <c r="A472" s="2" t="s">
        <v>6</v>
      </c>
      <c r="B472" s="2">
        <v>469</v>
      </c>
      <c r="C472" s="2">
        <v>469</v>
      </c>
      <c r="D472" s="14">
        <v>0</v>
      </c>
      <c r="E472" s="1">
        <f t="shared" si="42"/>
        <v>0</v>
      </c>
      <c r="F472">
        <f t="shared" si="43"/>
        <v>0</v>
      </c>
      <c r="G472">
        <f t="shared" si="44"/>
        <v>0</v>
      </c>
      <c r="I472">
        <f t="shared" si="45"/>
        <v>5.5555555555555556E-4</v>
      </c>
      <c r="J472">
        <f t="shared" si="46"/>
        <v>0</v>
      </c>
      <c r="K472">
        <f t="shared" si="47"/>
        <v>0</v>
      </c>
    </row>
    <row r="473" spans="1:11" x14ac:dyDescent="0.35">
      <c r="A473" s="2" t="s">
        <v>6</v>
      </c>
      <c r="B473" s="2">
        <v>470</v>
      </c>
      <c r="C473" s="2">
        <v>470</v>
      </c>
      <c r="D473" s="14">
        <v>0</v>
      </c>
      <c r="E473" s="1">
        <f t="shared" si="42"/>
        <v>0</v>
      </c>
      <c r="F473">
        <f t="shared" si="43"/>
        <v>0</v>
      </c>
      <c r="G473">
        <f t="shared" si="44"/>
        <v>0</v>
      </c>
      <c r="I473">
        <f t="shared" si="45"/>
        <v>5.5555555555555556E-4</v>
      </c>
      <c r="J473">
        <f t="shared" si="46"/>
        <v>0</v>
      </c>
      <c r="K473">
        <f t="shared" si="47"/>
        <v>0</v>
      </c>
    </row>
    <row r="474" spans="1:11" x14ac:dyDescent="0.35">
      <c r="A474" s="2" t="s">
        <v>6</v>
      </c>
      <c r="B474" s="2">
        <v>471</v>
      </c>
      <c r="C474" s="2">
        <v>471</v>
      </c>
      <c r="D474" s="14">
        <v>0</v>
      </c>
      <c r="E474" s="1">
        <f t="shared" si="42"/>
        <v>0</v>
      </c>
      <c r="F474">
        <f t="shared" si="43"/>
        <v>0</v>
      </c>
      <c r="G474">
        <f t="shared" si="44"/>
        <v>0</v>
      </c>
      <c r="I474">
        <f t="shared" si="45"/>
        <v>5.5555555555555556E-4</v>
      </c>
      <c r="J474">
        <f t="shared" si="46"/>
        <v>0</v>
      </c>
      <c r="K474">
        <f t="shared" si="47"/>
        <v>0</v>
      </c>
    </row>
    <row r="475" spans="1:11" x14ac:dyDescent="0.35">
      <c r="A475" s="2" t="s">
        <v>6</v>
      </c>
      <c r="B475" s="2">
        <v>472</v>
      </c>
      <c r="C475" s="2">
        <v>472</v>
      </c>
      <c r="D475" s="14">
        <v>0</v>
      </c>
      <c r="E475" s="1">
        <f t="shared" si="42"/>
        <v>0</v>
      </c>
      <c r="F475">
        <f t="shared" si="43"/>
        <v>0</v>
      </c>
      <c r="G475">
        <f t="shared" si="44"/>
        <v>0</v>
      </c>
      <c r="I475">
        <f t="shared" si="45"/>
        <v>5.5555555555555556E-4</v>
      </c>
      <c r="J475">
        <f t="shared" si="46"/>
        <v>0</v>
      </c>
      <c r="K475">
        <f t="shared" si="47"/>
        <v>0</v>
      </c>
    </row>
    <row r="476" spans="1:11" x14ac:dyDescent="0.35">
      <c r="A476" s="2" t="s">
        <v>6</v>
      </c>
      <c r="B476" s="2">
        <v>473</v>
      </c>
      <c r="C476" s="2">
        <v>473</v>
      </c>
      <c r="D476" s="14">
        <v>0</v>
      </c>
      <c r="E476" s="1">
        <f t="shared" si="42"/>
        <v>0</v>
      </c>
      <c r="F476">
        <f t="shared" si="43"/>
        <v>0</v>
      </c>
      <c r="G476">
        <f t="shared" si="44"/>
        <v>0</v>
      </c>
      <c r="I476">
        <f t="shared" si="45"/>
        <v>5.5555555555555556E-4</v>
      </c>
      <c r="J476">
        <f t="shared" si="46"/>
        <v>0</v>
      </c>
      <c r="K476">
        <f t="shared" si="47"/>
        <v>0</v>
      </c>
    </row>
    <row r="477" spans="1:11" x14ac:dyDescent="0.35">
      <c r="A477" s="2" t="s">
        <v>6</v>
      </c>
      <c r="B477" s="2">
        <v>474</v>
      </c>
      <c r="C477" s="2">
        <v>474</v>
      </c>
      <c r="D477" s="14">
        <v>0</v>
      </c>
      <c r="E477" s="1">
        <f t="shared" si="42"/>
        <v>0</v>
      </c>
      <c r="F477">
        <f t="shared" si="43"/>
        <v>0</v>
      </c>
      <c r="G477">
        <f t="shared" si="44"/>
        <v>0</v>
      </c>
      <c r="I477">
        <f t="shared" si="45"/>
        <v>5.5555555555555556E-4</v>
      </c>
      <c r="J477">
        <f t="shared" si="46"/>
        <v>0</v>
      </c>
      <c r="K477">
        <f t="shared" si="47"/>
        <v>0</v>
      </c>
    </row>
    <row r="478" spans="1:11" x14ac:dyDescent="0.35">
      <c r="A478" s="2" t="s">
        <v>6</v>
      </c>
      <c r="B478" s="2">
        <v>475</v>
      </c>
      <c r="C478" s="2">
        <v>475</v>
      </c>
      <c r="D478" s="14">
        <v>0</v>
      </c>
      <c r="E478" s="1">
        <f t="shared" si="42"/>
        <v>0</v>
      </c>
      <c r="F478">
        <f t="shared" si="43"/>
        <v>0</v>
      </c>
      <c r="G478">
        <f t="shared" si="44"/>
        <v>0</v>
      </c>
      <c r="I478">
        <f t="shared" si="45"/>
        <v>5.5555555555555556E-4</v>
      </c>
      <c r="J478">
        <f t="shared" si="46"/>
        <v>0</v>
      </c>
      <c r="K478">
        <f t="shared" si="47"/>
        <v>0</v>
      </c>
    </row>
    <row r="479" spans="1:11" x14ac:dyDescent="0.35">
      <c r="A479" s="2" t="s">
        <v>6</v>
      </c>
      <c r="B479" s="2">
        <v>476</v>
      </c>
      <c r="C479" s="2">
        <v>476</v>
      </c>
      <c r="D479" s="14">
        <v>0</v>
      </c>
      <c r="E479" s="1">
        <f t="shared" si="42"/>
        <v>0</v>
      </c>
      <c r="F479">
        <f t="shared" si="43"/>
        <v>0</v>
      </c>
      <c r="G479">
        <f t="shared" si="44"/>
        <v>0</v>
      </c>
      <c r="I479">
        <f t="shared" si="45"/>
        <v>5.5555555555555556E-4</v>
      </c>
      <c r="J479">
        <f t="shared" si="46"/>
        <v>0</v>
      </c>
      <c r="K479">
        <f t="shared" si="47"/>
        <v>0</v>
      </c>
    </row>
    <row r="480" spans="1:11" x14ac:dyDescent="0.35">
      <c r="A480" s="2" t="s">
        <v>6</v>
      </c>
      <c r="B480" s="2">
        <v>477</v>
      </c>
      <c r="C480" s="2">
        <v>477</v>
      </c>
      <c r="D480" s="14">
        <v>0</v>
      </c>
      <c r="E480" s="1">
        <f t="shared" si="42"/>
        <v>0</v>
      </c>
      <c r="F480">
        <f t="shared" si="43"/>
        <v>0</v>
      </c>
      <c r="G480">
        <f t="shared" si="44"/>
        <v>0</v>
      </c>
      <c r="I480">
        <f t="shared" si="45"/>
        <v>5.5555555555555556E-4</v>
      </c>
      <c r="J480">
        <f t="shared" si="46"/>
        <v>0</v>
      </c>
      <c r="K480">
        <f t="shared" si="47"/>
        <v>0</v>
      </c>
    </row>
    <row r="481" spans="1:11" x14ac:dyDescent="0.35">
      <c r="A481" s="2" t="s">
        <v>6</v>
      </c>
      <c r="B481" s="2">
        <v>478</v>
      </c>
      <c r="C481" s="2">
        <v>478</v>
      </c>
      <c r="D481" s="14">
        <v>0</v>
      </c>
      <c r="E481" s="1">
        <f t="shared" si="42"/>
        <v>0</v>
      </c>
      <c r="F481">
        <f t="shared" si="43"/>
        <v>0</v>
      </c>
      <c r="G481">
        <f t="shared" si="44"/>
        <v>0</v>
      </c>
      <c r="I481">
        <f t="shared" si="45"/>
        <v>5.5555555555555556E-4</v>
      </c>
      <c r="J481">
        <f t="shared" si="46"/>
        <v>0</v>
      </c>
      <c r="K481">
        <f t="shared" si="47"/>
        <v>0</v>
      </c>
    </row>
    <row r="482" spans="1:11" x14ac:dyDescent="0.35">
      <c r="A482" s="2" t="s">
        <v>6</v>
      </c>
      <c r="B482" s="2">
        <v>479</v>
      </c>
      <c r="C482" s="2">
        <v>479</v>
      </c>
      <c r="D482" s="14">
        <v>0</v>
      </c>
      <c r="E482" s="1">
        <f t="shared" si="42"/>
        <v>0</v>
      </c>
      <c r="F482">
        <f t="shared" si="43"/>
        <v>0</v>
      </c>
      <c r="G482">
        <f t="shared" si="44"/>
        <v>0</v>
      </c>
      <c r="I482">
        <f t="shared" si="45"/>
        <v>5.5555555555555556E-4</v>
      </c>
      <c r="J482">
        <f t="shared" si="46"/>
        <v>0</v>
      </c>
      <c r="K482">
        <f t="shared" si="47"/>
        <v>0</v>
      </c>
    </row>
    <row r="483" spans="1:11" x14ac:dyDescent="0.35">
      <c r="A483" s="2" t="s">
        <v>6</v>
      </c>
      <c r="B483" s="2">
        <v>480</v>
      </c>
      <c r="C483" s="2">
        <v>480</v>
      </c>
      <c r="D483" s="14">
        <v>0</v>
      </c>
      <c r="E483" s="1">
        <f t="shared" si="42"/>
        <v>0</v>
      </c>
      <c r="F483">
        <f t="shared" si="43"/>
        <v>0</v>
      </c>
      <c r="G483">
        <f t="shared" si="44"/>
        <v>0</v>
      </c>
      <c r="I483">
        <f t="shared" si="45"/>
        <v>5.5555555555555556E-4</v>
      </c>
      <c r="J483">
        <f t="shared" si="46"/>
        <v>0</v>
      </c>
      <c r="K483">
        <f t="shared" si="47"/>
        <v>0</v>
      </c>
    </row>
    <row r="484" spans="1:11" x14ac:dyDescent="0.35">
      <c r="A484" s="2" t="s">
        <v>6</v>
      </c>
      <c r="B484" s="2">
        <v>481</v>
      </c>
      <c r="C484" s="2">
        <v>481</v>
      </c>
      <c r="D484" s="14">
        <v>0</v>
      </c>
      <c r="E484" s="1">
        <f t="shared" si="42"/>
        <v>0</v>
      </c>
      <c r="F484">
        <f t="shared" si="43"/>
        <v>0</v>
      </c>
      <c r="G484">
        <f t="shared" si="44"/>
        <v>0</v>
      </c>
      <c r="I484">
        <f t="shared" si="45"/>
        <v>5.5555555555555556E-4</v>
      </c>
      <c r="J484">
        <f t="shared" si="46"/>
        <v>0</v>
      </c>
      <c r="K484">
        <f t="shared" si="47"/>
        <v>0</v>
      </c>
    </row>
    <row r="485" spans="1:11" x14ac:dyDescent="0.35">
      <c r="A485" s="2" t="s">
        <v>6</v>
      </c>
      <c r="B485" s="2">
        <v>482</v>
      </c>
      <c r="C485" s="2">
        <v>482</v>
      </c>
      <c r="D485" s="14">
        <v>0</v>
      </c>
      <c r="E485" s="1">
        <f t="shared" si="42"/>
        <v>0</v>
      </c>
      <c r="F485">
        <f t="shared" si="43"/>
        <v>0</v>
      </c>
      <c r="G485">
        <f t="shared" si="44"/>
        <v>0</v>
      </c>
      <c r="I485">
        <f t="shared" si="45"/>
        <v>5.5555555555555556E-4</v>
      </c>
      <c r="J485">
        <f t="shared" si="46"/>
        <v>0</v>
      </c>
      <c r="K485">
        <f t="shared" si="47"/>
        <v>0</v>
      </c>
    </row>
    <row r="486" spans="1:11" x14ac:dyDescent="0.35">
      <c r="A486" s="2" t="s">
        <v>6</v>
      </c>
      <c r="B486" s="2">
        <v>483</v>
      </c>
      <c r="C486" s="2">
        <v>483</v>
      </c>
      <c r="D486" s="14">
        <v>0</v>
      </c>
      <c r="E486" s="1">
        <f t="shared" si="42"/>
        <v>0</v>
      </c>
      <c r="F486">
        <f t="shared" si="43"/>
        <v>0</v>
      </c>
      <c r="G486">
        <f t="shared" si="44"/>
        <v>0</v>
      </c>
      <c r="I486">
        <f t="shared" si="45"/>
        <v>5.5555555555555556E-4</v>
      </c>
      <c r="J486">
        <f t="shared" si="46"/>
        <v>0</v>
      </c>
      <c r="K486">
        <f t="shared" si="47"/>
        <v>0</v>
      </c>
    </row>
    <row r="487" spans="1:11" x14ac:dyDescent="0.35">
      <c r="A487" s="2" t="s">
        <v>6</v>
      </c>
      <c r="B487" s="2">
        <v>484</v>
      </c>
      <c r="C487" s="2">
        <v>484</v>
      </c>
      <c r="D487" s="14">
        <v>0</v>
      </c>
      <c r="E487" s="1">
        <f t="shared" si="42"/>
        <v>0</v>
      </c>
      <c r="F487">
        <f t="shared" si="43"/>
        <v>0</v>
      </c>
      <c r="G487">
        <f t="shared" si="44"/>
        <v>0</v>
      </c>
      <c r="I487">
        <f t="shared" si="45"/>
        <v>5.5555555555555556E-4</v>
      </c>
      <c r="J487">
        <f t="shared" si="46"/>
        <v>0</v>
      </c>
      <c r="K487">
        <f t="shared" si="47"/>
        <v>0</v>
      </c>
    </row>
    <row r="488" spans="1:11" x14ac:dyDescent="0.35">
      <c r="A488" s="2" t="s">
        <v>6</v>
      </c>
      <c r="B488" s="2">
        <v>485</v>
      </c>
      <c r="C488" s="2">
        <v>485</v>
      </c>
      <c r="D488" s="14">
        <v>0</v>
      </c>
      <c r="E488" s="1">
        <f t="shared" si="42"/>
        <v>0</v>
      </c>
      <c r="F488">
        <f t="shared" si="43"/>
        <v>0</v>
      </c>
      <c r="G488">
        <f t="shared" si="44"/>
        <v>0</v>
      </c>
      <c r="I488">
        <f t="shared" si="45"/>
        <v>5.5555555555555556E-4</v>
      </c>
      <c r="J488">
        <f t="shared" si="46"/>
        <v>0</v>
      </c>
      <c r="K488">
        <f t="shared" si="47"/>
        <v>0</v>
      </c>
    </row>
    <row r="489" spans="1:11" x14ac:dyDescent="0.35">
      <c r="A489" s="2" t="s">
        <v>6</v>
      </c>
      <c r="B489" s="2">
        <v>486</v>
      </c>
      <c r="C489" s="2">
        <v>486</v>
      </c>
      <c r="D489" s="14">
        <v>0</v>
      </c>
      <c r="E489" s="1">
        <f t="shared" si="42"/>
        <v>0</v>
      </c>
      <c r="F489">
        <f t="shared" si="43"/>
        <v>0</v>
      </c>
      <c r="G489">
        <f t="shared" si="44"/>
        <v>0</v>
      </c>
      <c r="I489">
        <f t="shared" si="45"/>
        <v>5.5555555555555556E-4</v>
      </c>
      <c r="J489">
        <f t="shared" si="46"/>
        <v>0</v>
      </c>
      <c r="K489">
        <f t="shared" si="47"/>
        <v>0</v>
      </c>
    </row>
    <row r="490" spans="1:11" x14ac:dyDescent="0.35">
      <c r="A490" s="2" t="s">
        <v>6</v>
      </c>
      <c r="B490" s="2">
        <v>487</v>
      </c>
      <c r="C490" s="2">
        <v>487</v>
      </c>
      <c r="D490" s="14">
        <v>0</v>
      </c>
      <c r="E490" s="1">
        <f t="shared" si="42"/>
        <v>0</v>
      </c>
      <c r="F490">
        <f t="shared" si="43"/>
        <v>0</v>
      </c>
      <c r="G490">
        <f t="shared" si="44"/>
        <v>0</v>
      </c>
      <c r="I490">
        <f t="shared" si="45"/>
        <v>5.5555555555555556E-4</v>
      </c>
      <c r="J490">
        <f t="shared" si="46"/>
        <v>0</v>
      </c>
      <c r="K490">
        <f t="shared" si="47"/>
        <v>0</v>
      </c>
    </row>
    <row r="491" spans="1:11" x14ac:dyDescent="0.35">
      <c r="A491" s="2" t="s">
        <v>6</v>
      </c>
      <c r="B491" s="2">
        <v>488</v>
      </c>
      <c r="C491" s="2">
        <v>488</v>
      </c>
      <c r="D491" s="14">
        <v>0</v>
      </c>
      <c r="E491" s="1">
        <f t="shared" si="42"/>
        <v>0</v>
      </c>
      <c r="F491">
        <f t="shared" si="43"/>
        <v>0</v>
      </c>
      <c r="G491">
        <f t="shared" si="44"/>
        <v>0</v>
      </c>
      <c r="I491">
        <f t="shared" si="45"/>
        <v>5.5555555555555556E-4</v>
      </c>
      <c r="J491">
        <f t="shared" si="46"/>
        <v>0</v>
      </c>
      <c r="K491">
        <f t="shared" si="47"/>
        <v>0</v>
      </c>
    </row>
    <row r="492" spans="1:11" x14ac:dyDescent="0.35">
      <c r="A492" s="2" t="s">
        <v>6</v>
      </c>
      <c r="B492" s="2">
        <v>489</v>
      </c>
      <c r="C492" s="2">
        <v>489</v>
      </c>
      <c r="D492" s="14">
        <v>0</v>
      </c>
      <c r="E492" s="1">
        <f t="shared" si="42"/>
        <v>0</v>
      </c>
      <c r="F492">
        <f t="shared" si="43"/>
        <v>0</v>
      </c>
      <c r="G492">
        <f t="shared" si="44"/>
        <v>0</v>
      </c>
      <c r="I492">
        <f t="shared" si="45"/>
        <v>5.5555555555555556E-4</v>
      </c>
      <c r="J492">
        <f t="shared" si="46"/>
        <v>0</v>
      </c>
      <c r="K492">
        <f t="shared" si="47"/>
        <v>0</v>
      </c>
    </row>
    <row r="493" spans="1:11" x14ac:dyDescent="0.35">
      <c r="A493" s="2" t="s">
        <v>6</v>
      </c>
      <c r="B493" s="2">
        <v>490</v>
      </c>
      <c r="C493" s="2">
        <v>490</v>
      </c>
      <c r="D493" s="14">
        <v>0</v>
      </c>
      <c r="E493" s="1">
        <f t="shared" si="42"/>
        <v>0</v>
      </c>
      <c r="F493">
        <f t="shared" si="43"/>
        <v>0</v>
      </c>
      <c r="G493">
        <f t="shared" si="44"/>
        <v>0</v>
      </c>
      <c r="I493">
        <f t="shared" si="45"/>
        <v>5.5555555555555556E-4</v>
      </c>
      <c r="J493">
        <f t="shared" si="46"/>
        <v>0</v>
      </c>
      <c r="K493">
        <f t="shared" si="47"/>
        <v>0</v>
      </c>
    </row>
    <row r="494" spans="1:11" x14ac:dyDescent="0.35">
      <c r="A494" s="2" t="s">
        <v>6</v>
      </c>
      <c r="B494" s="2">
        <v>491</v>
      </c>
      <c r="C494" s="2">
        <v>491</v>
      </c>
      <c r="D494" s="14">
        <v>0</v>
      </c>
      <c r="E494" s="1">
        <f t="shared" si="42"/>
        <v>0</v>
      </c>
      <c r="F494">
        <f t="shared" si="43"/>
        <v>0</v>
      </c>
      <c r="G494">
        <f t="shared" si="44"/>
        <v>0</v>
      </c>
      <c r="I494">
        <f t="shared" si="45"/>
        <v>5.5555555555555556E-4</v>
      </c>
      <c r="J494">
        <f t="shared" si="46"/>
        <v>0</v>
      </c>
      <c r="K494">
        <f t="shared" si="47"/>
        <v>0</v>
      </c>
    </row>
    <row r="495" spans="1:11" x14ac:dyDescent="0.35">
      <c r="A495" s="2" t="s">
        <v>6</v>
      </c>
      <c r="B495" s="2">
        <v>492</v>
      </c>
      <c r="C495" s="2">
        <v>492</v>
      </c>
      <c r="D495" s="14">
        <v>0</v>
      </c>
      <c r="E495" s="1">
        <f t="shared" si="42"/>
        <v>0</v>
      </c>
      <c r="F495">
        <f t="shared" si="43"/>
        <v>0</v>
      </c>
      <c r="G495">
        <f t="shared" si="44"/>
        <v>0</v>
      </c>
      <c r="I495">
        <f t="shared" si="45"/>
        <v>5.5555555555555556E-4</v>
      </c>
      <c r="J495">
        <f t="shared" si="46"/>
        <v>0</v>
      </c>
      <c r="K495">
        <f t="shared" si="47"/>
        <v>0</v>
      </c>
    </row>
    <row r="496" spans="1:11" x14ac:dyDescent="0.35">
      <c r="A496" s="2" t="s">
        <v>6</v>
      </c>
      <c r="B496" s="2">
        <v>493</v>
      </c>
      <c r="C496" s="2">
        <v>493</v>
      </c>
      <c r="D496" s="14">
        <v>0</v>
      </c>
      <c r="E496" s="1">
        <f t="shared" si="42"/>
        <v>0</v>
      </c>
      <c r="F496">
        <f t="shared" si="43"/>
        <v>0</v>
      </c>
      <c r="G496">
        <f t="shared" si="44"/>
        <v>0</v>
      </c>
      <c r="I496">
        <f t="shared" si="45"/>
        <v>5.5555555555555556E-4</v>
      </c>
      <c r="J496">
        <f t="shared" si="46"/>
        <v>0</v>
      </c>
      <c r="K496">
        <f t="shared" si="47"/>
        <v>0</v>
      </c>
    </row>
    <row r="497" spans="1:11" x14ac:dyDescent="0.35">
      <c r="A497" s="2" t="s">
        <v>6</v>
      </c>
      <c r="B497" s="2">
        <v>494</v>
      </c>
      <c r="C497" s="2">
        <v>494</v>
      </c>
      <c r="D497" s="14">
        <v>0</v>
      </c>
      <c r="E497" s="1">
        <f t="shared" si="42"/>
        <v>0</v>
      </c>
      <c r="F497">
        <f t="shared" si="43"/>
        <v>0</v>
      </c>
      <c r="G497">
        <f t="shared" si="44"/>
        <v>0</v>
      </c>
      <c r="I497">
        <f t="shared" si="45"/>
        <v>5.5555555555555556E-4</v>
      </c>
      <c r="J497">
        <f t="shared" si="46"/>
        <v>0</v>
      </c>
      <c r="K497">
        <f t="shared" si="47"/>
        <v>0</v>
      </c>
    </row>
    <row r="498" spans="1:11" x14ac:dyDescent="0.35">
      <c r="A498" s="2" t="s">
        <v>6</v>
      </c>
      <c r="B498" s="2">
        <v>495</v>
      </c>
      <c r="C498" s="2">
        <v>495</v>
      </c>
      <c r="D498" s="14">
        <v>0</v>
      </c>
      <c r="E498" s="1">
        <f t="shared" si="42"/>
        <v>0</v>
      </c>
      <c r="F498">
        <f t="shared" si="43"/>
        <v>0</v>
      </c>
      <c r="G498">
        <f t="shared" si="44"/>
        <v>0</v>
      </c>
      <c r="I498">
        <f t="shared" si="45"/>
        <v>5.5555555555555556E-4</v>
      </c>
      <c r="J498">
        <f t="shared" si="46"/>
        <v>0</v>
      </c>
      <c r="K498">
        <f t="shared" si="47"/>
        <v>0</v>
      </c>
    </row>
    <row r="499" spans="1:11" x14ac:dyDescent="0.35">
      <c r="A499" s="2" t="s">
        <v>6</v>
      </c>
      <c r="B499" s="2">
        <v>496</v>
      </c>
      <c r="C499" s="2">
        <v>496</v>
      </c>
      <c r="D499" s="14">
        <v>0</v>
      </c>
      <c r="E499" s="1">
        <f t="shared" si="42"/>
        <v>0</v>
      </c>
      <c r="F499">
        <f t="shared" si="43"/>
        <v>0</v>
      </c>
      <c r="G499">
        <f t="shared" si="44"/>
        <v>0</v>
      </c>
      <c r="I499">
        <f t="shared" si="45"/>
        <v>5.5555555555555556E-4</v>
      </c>
      <c r="J499">
        <f t="shared" si="46"/>
        <v>0</v>
      </c>
      <c r="K499">
        <f t="shared" si="47"/>
        <v>0</v>
      </c>
    </row>
    <row r="500" spans="1:11" x14ac:dyDescent="0.35">
      <c r="A500" s="2" t="s">
        <v>6</v>
      </c>
      <c r="B500" s="2">
        <v>497</v>
      </c>
      <c r="C500" s="2">
        <v>497</v>
      </c>
      <c r="D500" s="14">
        <v>0</v>
      </c>
      <c r="E500" s="1">
        <f t="shared" si="42"/>
        <v>0</v>
      </c>
      <c r="F500">
        <f t="shared" si="43"/>
        <v>0</v>
      </c>
      <c r="G500">
        <f t="shared" si="44"/>
        <v>0</v>
      </c>
      <c r="I500">
        <f t="shared" si="45"/>
        <v>5.5555555555555556E-4</v>
      </c>
      <c r="J500">
        <f t="shared" si="46"/>
        <v>0</v>
      </c>
      <c r="K500">
        <f t="shared" si="47"/>
        <v>0</v>
      </c>
    </row>
    <row r="501" spans="1:11" x14ac:dyDescent="0.35">
      <c r="A501" s="2" t="s">
        <v>6</v>
      </c>
      <c r="B501" s="2">
        <v>498</v>
      </c>
      <c r="C501" s="2">
        <v>498</v>
      </c>
      <c r="D501" s="14">
        <v>0</v>
      </c>
      <c r="E501" s="1">
        <f t="shared" si="42"/>
        <v>0</v>
      </c>
      <c r="F501">
        <f t="shared" si="43"/>
        <v>0</v>
      </c>
      <c r="G501">
        <f t="shared" si="44"/>
        <v>0</v>
      </c>
      <c r="I501">
        <f t="shared" si="45"/>
        <v>5.5555555555555556E-4</v>
      </c>
      <c r="J501">
        <f t="shared" si="46"/>
        <v>0</v>
      </c>
      <c r="K501">
        <f t="shared" si="47"/>
        <v>0</v>
      </c>
    </row>
    <row r="502" spans="1:11" x14ac:dyDescent="0.35">
      <c r="A502" s="2" t="s">
        <v>6</v>
      </c>
      <c r="B502" s="2">
        <v>499</v>
      </c>
      <c r="C502" s="2">
        <v>499</v>
      </c>
      <c r="D502" s="14">
        <v>0</v>
      </c>
      <c r="E502" s="1">
        <f t="shared" si="42"/>
        <v>0</v>
      </c>
      <c r="F502">
        <f t="shared" si="43"/>
        <v>0</v>
      </c>
      <c r="G502">
        <f t="shared" si="44"/>
        <v>0</v>
      </c>
      <c r="I502">
        <f t="shared" si="45"/>
        <v>5.5555555555555556E-4</v>
      </c>
      <c r="J502">
        <f t="shared" si="46"/>
        <v>0</v>
      </c>
      <c r="K502">
        <f t="shared" si="47"/>
        <v>0</v>
      </c>
    </row>
    <row r="503" spans="1:11" x14ac:dyDescent="0.35">
      <c r="A503" s="2" t="s">
        <v>6</v>
      </c>
      <c r="B503" s="2">
        <v>500</v>
      </c>
      <c r="C503" s="2">
        <v>500</v>
      </c>
      <c r="D503" s="14">
        <v>0</v>
      </c>
      <c r="E503" s="1">
        <f t="shared" si="42"/>
        <v>0</v>
      </c>
      <c r="F503">
        <f t="shared" si="43"/>
        <v>0</v>
      </c>
      <c r="G503">
        <f t="shared" si="44"/>
        <v>0</v>
      </c>
      <c r="I503">
        <f t="shared" si="45"/>
        <v>5.5555555555555556E-4</v>
      </c>
      <c r="J503">
        <f t="shared" si="46"/>
        <v>0</v>
      </c>
      <c r="K503">
        <f t="shared" si="47"/>
        <v>0</v>
      </c>
    </row>
    <row r="504" spans="1:11" x14ac:dyDescent="0.35">
      <c r="A504" s="2" t="s">
        <v>6</v>
      </c>
      <c r="B504" s="2">
        <v>501</v>
      </c>
      <c r="C504" s="2">
        <v>501</v>
      </c>
      <c r="D504" s="14">
        <v>0</v>
      </c>
      <c r="E504" s="1">
        <f t="shared" si="42"/>
        <v>0</v>
      </c>
      <c r="F504">
        <f t="shared" si="43"/>
        <v>0</v>
      </c>
      <c r="G504">
        <f t="shared" si="44"/>
        <v>0</v>
      </c>
      <c r="I504">
        <f t="shared" si="45"/>
        <v>5.5555555555555556E-4</v>
      </c>
      <c r="J504">
        <f t="shared" si="46"/>
        <v>0</v>
      </c>
      <c r="K504">
        <f t="shared" si="47"/>
        <v>0</v>
      </c>
    </row>
    <row r="505" spans="1:11" x14ac:dyDescent="0.35">
      <c r="A505" s="2" t="s">
        <v>6</v>
      </c>
      <c r="B505" s="2">
        <v>502</v>
      </c>
      <c r="C505" s="2">
        <v>502</v>
      </c>
      <c r="D505" s="14">
        <v>0</v>
      </c>
      <c r="E505" s="1">
        <f t="shared" si="42"/>
        <v>0</v>
      </c>
      <c r="F505">
        <f t="shared" si="43"/>
        <v>0</v>
      </c>
      <c r="G505">
        <f t="shared" si="44"/>
        <v>0</v>
      </c>
      <c r="I505">
        <f t="shared" si="45"/>
        <v>5.5555555555555556E-4</v>
      </c>
      <c r="J505">
        <f t="shared" si="46"/>
        <v>0</v>
      </c>
      <c r="K505">
        <f t="shared" si="47"/>
        <v>0</v>
      </c>
    </row>
    <row r="506" spans="1:11" x14ac:dyDescent="0.35">
      <c r="A506" s="2" t="s">
        <v>6</v>
      </c>
      <c r="B506" s="2">
        <v>503</v>
      </c>
      <c r="C506" s="2">
        <v>503</v>
      </c>
      <c r="D506" s="14">
        <v>0</v>
      </c>
      <c r="E506" s="1">
        <f t="shared" si="42"/>
        <v>0</v>
      </c>
      <c r="F506">
        <f t="shared" si="43"/>
        <v>0</v>
      </c>
      <c r="G506">
        <f t="shared" si="44"/>
        <v>0</v>
      </c>
      <c r="I506">
        <f t="shared" si="45"/>
        <v>5.5555555555555556E-4</v>
      </c>
      <c r="J506">
        <f t="shared" si="46"/>
        <v>0</v>
      </c>
      <c r="K506">
        <f t="shared" si="47"/>
        <v>0</v>
      </c>
    </row>
    <row r="507" spans="1:11" x14ac:dyDescent="0.35">
      <c r="A507" s="2" t="s">
        <v>6</v>
      </c>
      <c r="B507" s="2">
        <v>504</v>
      </c>
      <c r="C507" s="2">
        <v>504</v>
      </c>
      <c r="D507" s="14">
        <v>0</v>
      </c>
      <c r="E507" s="1">
        <f t="shared" si="42"/>
        <v>0</v>
      </c>
      <c r="F507">
        <f t="shared" si="43"/>
        <v>0</v>
      </c>
      <c r="G507">
        <f t="shared" si="44"/>
        <v>0</v>
      </c>
      <c r="I507">
        <f t="shared" si="45"/>
        <v>5.5555555555555556E-4</v>
      </c>
      <c r="J507">
        <f t="shared" si="46"/>
        <v>0</v>
      </c>
      <c r="K507">
        <f t="shared" si="47"/>
        <v>0</v>
      </c>
    </row>
    <row r="508" spans="1:11" x14ac:dyDescent="0.35">
      <c r="A508" s="2" t="s">
        <v>6</v>
      </c>
      <c r="B508" s="2">
        <v>505</v>
      </c>
      <c r="C508" s="2">
        <v>505</v>
      </c>
      <c r="D508" s="14">
        <v>0</v>
      </c>
      <c r="E508" s="1">
        <f t="shared" si="42"/>
        <v>0</v>
      </c>
      <c r="F508">
        <f t="shared" si="43"/>
        <v>0</v>
      </c>
      <c r="G508">
        <f t="shared" si="44"/>
        <v>0</v>
      </c>
      <c r="I508">
        <f t="shared" si="45"/>
        <v>5.5555555555555556E-4</v>
      </c>
      <c r="J508">
        <f t="shared" si="46"/>
        <v>0</v>
      </c>
      <c r="K508">
        <f t="shared" si="47"/>
        <v>0</v>
      </c>
    </row>
    <row r="509" spans="1:11" x14ac:dyDescent="0.35">
      <c r="A509" s="2" t="s">
        <v>6</v>
      </c>
      <c r="B509" s="2">
        <v>506</v>
      </c>
      <c r="C509" s="2">
        <v>506</v>
      </c>
      <c r="D509" s="14">
        <v>0</v>
      </c>
      <c r="E509" s="1">
        <f t="shared" si="42"/>
        <v>0</v>
      </c>
      <c r="F509">
        <f t="shared" si="43"/>
        <v>0</v>
      </c>
      <c r="G509">
        <f t="shared" si="44"/>
        <v>0</v>
      </c>
      <c r="I509">
        <f t="shared" si="45"/>
        <v>5.5555555555555556E-4</v>
      </c>
      <c r="J509">
        <f t="shared" si="46"/>
        <v>0</v>
      </c>
      <c r="K509">
        <f t="shared" si="47"/>
        <v>0</v>
      </c>
    </row>
    <row r="510" spans="1:11" x14ac:dyDescent="0.35">
      <c r="A510" s="2" t="s">
        <v>6</v>
      </c>
      <c r="B510" s="2">
        <v>507</v>
      </c>
      <c r="C510" s="2">
        <v>507</v>
      </c>
      <c r="D510" s="14">
        <v>0</v>
      </c>
      <c r="E510" s="1">
        <f t="shared" si="42"/>
        <v>0</v>
      </c>
      <c r="F510">
        <f t="shared" si="43"/>
        <v>0</v>
      </c>
      <c r="G510">
        <f t="shared" si="44"/>
        <v>0</v>
      </c>
      <c r="I510">
        <f t="shared" si="45"/>
        <v>5.5555555555555556E-4</v>
      </c>
      <c r="J510">
        <f t="shared" si="46"/>
        <v>0</v>
      </c>
      <c r="K510">
        <f t="shared" si="47"/>
        <v>0</v>
      </c>
    </row>
    <row r="511" spans="1:11" x14ac:dyDescent="0.35">
      <c r="A511" s="2" t="s">
        <v>6</v>
      </c>
      <c r="B511" s="2">
        <v>508</v>
      </c>
      <c r="C511" s="2">
        <v>508</v>
      </c>
      <c r="D511" s="14">
        <v>0</v>
      </c>
      <c r="E511" s="1">
        <f t="shared" si="42"/>
        <v>0</v>
      </c>
      <c r="F511">
        <f t="shared" si="43"/>
        <v>0</v>
      </c>
      <c r="G511">
        <f t="shared" si="44"/>
        <v>0</v>
      </c>
      <c r="I511">
        <f t="shared" si="45"/>
        <v>5.5555555555555556E-4</v>
      </c>
      <c r="J511">
        <f t="shared" si="46"/>
        <v>0</v>
      </c>
      <c r="K511">
        <f t="shared" si="47"/>
        <v>0</v>
      </c>
    </row>
    <row r="512" spans="1:11" x14ac:dyDescent="0.35">
      <c r="A512" s="2" t="s">
        <v>6</v>
      </c>
      <c r="B512" s="2">
        <v>509</v>
      </c>
      <c r="C512" s="2">
        <v>509</v>
      </c>
      <c r="D512" s="14">
        <v>0</v>
      </c>
      <c r="E512" s="1">
        <f t="shared" si="42"/>
        <v>0</v>
      </c>
      <c r="F512">
        <f t="shared" si="43"/>
        <v>0</v>
      </c>
      <c r="G512">
        <f t="shared" si="44"/>
        <v>0</v>
      </c>
      <c r="I512">
        <f t="shared" si="45"/>
        <v>5.5555555555555556E-4</v>
      </c>
      <c r="J512">
        <f t="shared" si="46"/>
        <v>0</v>
      </c>
      <c r="K512">
        <f t="shared" si="47"/>
        <v>0</v>
      </c>
    </row>
    <row r="513" spans="1:11" x14ac:dyDescent="0.35">
      <c r="A513" s="2" t="s">
        <v>6</v>
      </c>
      <c r="B513" s="2">
        <v>510</v>
      </c>
      <c r="C513" s="2">
        <v>510</v>
      </c>
      <c r="D513" s="14">
        <v>0</v>
      </c>
      <c r="E513" s="1">
        <f t="shared" si="42"/>
        <v>0</v>
      </c>
      <c r="F513">
        <f t="shared" si="43"/>
        <v>0</v>
      </c>
      <c r="G513">
        <f t="shared" si="44"/>
        <v>0</v>
      </c>
      <c r="I513">
        <f t="shared" si="45"/>
        <v>5.5555555555555556E-4</v>
      </c>
      <c r="J513">
        <f t="shared" si="46"/>
        <v>0</v>
      </c>
      <c r="K513">
        <f t="shared" si="47"/>
        <v>0</v>
      </c>
    </row>
    <row r="514" spans="1:11" x14ac:dyDescent="0.35">
      <c r="A514" s="2" t="s">
        <v>6</v>
      </c>
      <c r="B514" s="2">
        <v>511</v>
      </c>
      <c r="C514" s="2">
        <v>511</v>
      </c>
      <c r="D514" s="14">
        <v>0</v>
      </c>
      <c r="E514" s="1">
        <f t="shared" si="42"/>
        <v>6.9444444444444448E-2</v>
      </c>
      <c r="F514">
        <f t="shared" si="43"/>
        <v>0</v>
      </c>
      <c r="G514">
        <f t="shared" si="44"/>
        <v>0</v>
      </c>
      <c r="I514">
        <f t="shared" si="45"/>
        <v>5.5555555555555556E-4</v>
      </c>
      <c r="J514">
        <f t="shared" si="46"/>
        <v>0</v>
      </c>
      <c r="K514">
        <f t="shared" si="47"/>
        <v>0</v>
      </c>
    </row>
    <row r="515" spans="1:11" x14ac:dyDescent="0.35">
      <c r="A515" s="2" t="s">
        <v>6</v>
      </c>
      <c r="B515" s="2">
        <v>512</v>
      </c>
      <c r="C515" s="2">
        <v>512</v>
      </c>
      <c r="D515" s="14">
        <v>0.5</v>
      </c>
      <c r="E515" s="1">
        <f t="shared" si="42"/>
        <v>0.34722222222222221</v>
      </c>
      <c r="F515">
        <f t="shared" si="43"/>
        <v>225.43610393518514</v>
      </c>
      <c r="G515">
        <f t="shared" si="44"/>
        <v>4.6536533067805657</v>
      </c>
      <c r="I515">
        <f t="shared" si="45"/>
        <v>5.5555555555555556E-4</v>
      </c>
      <c r="J515">
        <f t="shared" si="46"/>
        <v>0.31310569990997938</v>
      </c>
      <c r="K515">
        <f t="shared" si="47"/>
        <v>1.1168767936273357E-2</v>
      </c>
    </row>
    <row r="516" spans="1:11" x14ac:dyDescent="0.35">
      <c r="A516" s="2" t="s">
        <v>6</v>
      </c>
      <c r="B516" s="2">
        <v>513</v>
      </c>
      <c r="C516" s="2">
        <v>513</v>
      </c>
      <c r="D516" s="14">
        <v>2.5</v>
      </c>
      <c r="E516" s="1">
        <f t="shared" si="42"/>
        <v>0.8472222222222221</v>
      </c>
      <c r="F516">
        <f t="shared" si="43"/>
        <v>453.49299837962957</v>
      </c>
      <c r="G516">
        <f t="shared" si="44"/>
        <v>23.268266533902828</v>
      </c>
      <c r="I516">
        <f t="shared" si="45"/>
        <v>5.5555555555555556E-4</v>
      </c>
      <c r="J516">
        <f t="shared" si="46"/>
        <v>0.62985138663837437</v>
      </c>
      <c r="K516">
        <f t="shared" si="47"/>
        <v>5.5843839681366796E-2</v>
      </c>
    </row>
    <row r="517" spans="1:11" x14ac:dyDescent="0.35">
      <c r="A517" s="2" t="s">
        <v>6</v>
      </c>
      <c r="B517" s="2">
        <v>514</v>
      </c>
      <c r="C517" s="2">
        <v>514</v>
      </c>
      <c r="D517" s="14">
        <v>6.6</v>
      </c>
      <c r="E517" s="1">
        <f t="shared" ref="E517:E580" si="48">($D518-$D516)/2/3.6</f>
        <v>1.2916666666666667</v>
      </c>
      <c r="F517">
        <f t="shared" ref="F517:F580" si="49">IF(D517=0,0,MAX(0,0.285*(1600*E517 + 1600*9.81*0.015 + 0.5*1.225*0.32*2.2*(D517/3.6)^2)))</f>
        <v>656.51345366666669</v>
      </c>
      <c r="G517">
        <f t="shared" ref="G517:G580" si="50">60*D517/(2*PI()*3.6*0.285)</f>
        <v>61.428223649503472</v>
      </c>
      <c r="I517">
        <f t="shared" ref="I517:I580" si="51">1/1800</f>
        <v>5.5555555555555556E-4</v>
      </c>
      <c r="J517">
        <f t="shared" ref="J517:J580" si="52">F517/(M$3*3.6)</f>
        <v>0.91182424120370376</v>
      </c>
      <c r="K517">
        <f t="shared" ref="K517:K580" si="53">G517*3.6/N$3</f>
        <v>0.14742773675880833</v>
      </c>
    </row>
    <row r="518" spans="1:11" x14ac:dyDescent="0.35">
      <c r="A518" s="2" t="s">
        <v>6</v>
      </c>
      <c r="B518" s="2">
        <v>515</v>
      </c>
      <c r="C518" s="2">
        <v>515</v>
      </c>
      <c r="D518" s="14">
        <v>11.8</v>
      </c>
      <c r="E518" s="1">
        <f t="shared" si="48"/>
        <v>1.4166666666666667</v>
      </c>
      <c r="F518">
        <f t="shared" si="49"/>
        <v>714.4207304074074</v>
      </c>
      <c r="G518">
        <f t="shared" si="50"/>
        <v>109.82621804002136</v>
      </c>
      <c r="I518">
        <f t="shared" si="51"/>
        <v>5.5555555555555556E-4</v>
      </c>
      <c r="J518">
        <f t="shared" si="52"/>
        <v>0.99225101445473252</v>
      </c>
      <c r="K518">
        <f t="shared" si="53"/>
        <v>0.26358292329605126</v>
      </c>
    </row>
    <row r="519" spans="1:11" x14ac:dyDescent="0.35">
      <c r="A519" s="2" t="s">
        <v>6</v>
      </c>
      <c r="B519" s="2">
        <v>516</v>
      </c>
      <c r="C519" s="2">
        <v>516</v>
      </c>
      <c r="D519" s="14">
        <v>16.8</v>
      </c>
      <c r="E519" s="1">
        <f t="shared" si="48"/>
        <v>1.2083333333333333</v>
      </c>
      <c r="F519">
        <f t="shared" si="49"/>
        <v>620.77671466666652</v>
      </c>
      <c r="G519">
        <f t="shared" si="50"/>
        <v>156.36275110782702</v>
      </c>
      <c r="I519">
        <f t="shared" si="51"/>
        <v>5.5555555555555556E-4</v>
      </c>
      <c r="J519">
        <f t="shared" si="52"/>
        <v>0.86218988148148124</v>
      </c>
      <c r="K519">
        <f t="shared" si="53"/>
        <v>0.37527060265878487</v>
      </c>
    </row>
    <row r="520" spans="1:11" x14ac:dyDescent="0.35">
      <c r="A520" s="2" t="s">
        <v>6</v>
      </c>
      <c r="B520" s="2">
        <v>517</v>
      </c>
      <c r="C520" s="2">
        <v>517</v>
      </c>
      <c r="D520" s="14">
        <v>20.5</v>
      </c>
      <c r="E520" s="1">
        <f t="shared" si="48"/>
        <v>0.70833333333333304</v>
      </c>
      <c r="F520">
        <f t="shared" si="49"/>
        <v>394.08538171296283</v>
      </c>
      <c r="G520">
        <f t="shared" si="50"/>
        <v>190.7997855780032</v>
      </c>
      <c r="I520">
        <f t="shared" si="51"/>
        <v>5.5555555555555556E-4</v>
      </c>
      <c r="J520">
        <f t="shared" si="52"/>
        <v>0.54734080793467055</v>
      </c>
      <c r="K520">
        <f t="shared" si="53"/>
        <v>0.45791948538720773</v>
      </c>
    </row>
    <row r="521" spans="1:11" x14ac:dyDescent="0.35">
      <c r="A521" s="2" t="s">
        <v>6</v>
      </c>
      <c r="B521" s="2">
        <v>518</v>
      </c>
      <c r="C521" s="2">
        <v>518</v>
      </c>
      <c r="D521" s="14">
        <v>21.9</v>
      </c>
      <c r="E521" s="1">
        <f t="shared" si="48"/>
        <v>0.19444444444444425</v>
      </c>
      <c r="F521">
        <f t="shared" si="49"/>
        <v>160.31492408333321</v>
      </c>
      <c r="G521">
        <f t="shared" si="50"/>
        <v>203.83001483698879</v>
      </c>
      <c r="I521">
        <f t="shared" si="51"/>
        <v>5.5555555555555556E-4</v>
      </c>
      <c r="J521">
        <f t="shared" si="52"/>
        <v>0.22265961678240723</v>
      </c>
      <c r="K521">
        <f t="shared" si="53"/>
        <v>0.48919203560877311</v>
      </c>
    </row>
    <row r="522" spans="1:11" x14ac:dyDescent="0.35">
      <c r="A522" s="2" t="s">
        <v>6</v>
      </c>
      <c r="B522" s="2">
        <v>519</v>
      </c>
      <c r="C522" s="2">
        <v>519</v>
      </c>
      <c r="D522" s="14">
        <v>21.9</v>
      </c>
      <c r="E522" s="1">
        <f t="shared" si="48"/>
        <v>-8.3333333333333037E-2</v>
      </c>
      <c r="F522">
        <f t="shared" si="49"/>
        <v>33.648257416666802</v>
      </c>
      <c r="G522">
        <f t="shared" si="50"/>
        <v>203.83001483698879</v>
      </c>
      <c r="I522">
        <f t="shared" si="51"/>
        <v>5.5555555555555556E-4</v>
      </c>
      <c r="J522">
        <f t="shared" si="52"/>
        <v>4.6733690856481672E-2</v>
      </c>
      <c r="K522">
        <f t="shared" si="53"/>
        <v>0.48919203560877311</v>
      </c>
    </row>
    <row r="523" spans="1:11" x14ac:dyDescent="0.35">
      <c r="A523" s="2" t="s">
        <v>6</v>
      </c>
      <c r="B523" s="2">
        <v>520</v>
      </c>
      <c r="C523" s="2">
        <v>520</v>
      </c>
      <c r="D523" s="14">
        <v>21.3</v>
      </c>
      <c r="E523" s="1">
        <f t="shared" si="48"/>
        <v>-0.22222222222222193</v>
      </c>
      <c r="F523">
        <f t="shared" si="49"/>
        <v>0</v>
      </c>
      <c r="G523">
        <f t="shared" si="50"/>
        <v>198.24563086885212</v>
      </c>
      <c r="I523">
        <f t="shared" si="51"/>
        <v>5.5555555555555556E-4</v>
      </c>
      <c r="J523">
        <f t="shared" si="52"/>
        <v>0</v>
      </c>
      <c r="K523">
        <f t="shared" si="53"/>
        <v>0.47578951408524511</v>
      </c>
    </row>
    <row r="524" spans="1:11" x14ac:dyDescent="0.35">
      <c r="A524" s="2" t="s">
        <v>6</v>
      </c>
      <c r="B524" s="2">
        <v>521</v>
      </c>
      <c r="C524" s="2">
        <v>521</v>
      </c>
      <c r="D524" s="14">
        <v>20.3</v>
      </c>
      <c r="E524" s="1">
        <f t="shared" si="48"/>
        <v>-0.29166666666666685</v>
      </c>
      <c r="F524">
        <f t="shared" si="49"/>
        <v>0</v>
      </c>
      <c r="G524">
        <f t="shared" si="50"/>
        <v>188.93832425529098</v>
      </c>
      <c r="I524">
        <f t="shared" si="51"/>
        <v>5.5555555555555556E-4</v>
      </c>
      <c r="J524">
        <f t="shared" si="52"/>
        <v>0</v>
      </c>
      <c r="K524">
        <f t="shared" si="53"/>
        <v>0.45345197821269834</v>
      </c>
    </row>
    <row r="525" spans="1:11" x14ac:dyDescent="0.35">
      <c r="A525" s="2" t="s">
        <v>6</v>
      </c>
      <c r="B525" s="2">
        <v>522</v>
      </c>
      <c r="C525" s="2">
        <v>522</v>
      </c>
      <c r="D525" s="14">
        <v>19.2</v>
      </c>
      <c r="E525" s="1">
        <f t="shared" si="48"/>
        <v>-0.34722222222222221</v>
      </c>
      <c r="F525">
        <f t="shared" si="49"/>
        <v>0</v>
      </c>
      <c r="G525">
        <f t="shared" si="50"/>
        <v>178.70028698037373</v>
      </c>
      <c r="I525">
        <f t="shared" si="51"/>
        <v>5.5555555555555556E-4</v>
      </c>
      <c r="J525">
        <f t="shared" si="52"/>
        <v>0</v>
      </c>
      <c r="K525">
        <f t="shared" si="53"/>
        <v>0.42888068875289698</v>
      </c>
    </row>
    <row r="526" spans="1:11" x14ac:dyDescent="0.35">
      <c r="A526" s="2" t="s">
        <v>6</v>
      </c>
      <c r="B526" s="2">
        <v>523</v>
      </c>
      <c r="C526" s="2">
        <v>523</v>
      </c>
      <c r="D526" s="14">
        <v>17.8</v>
      </c>
      <c r="E526" s="1">
        <f t="shared" si="48"/>
        <v>-0.51388888888888873</v>
      </c>
      <c r="F526">
        <f t="shared" si="49"/>
        <v>0</v>
      </c>
      <c r="G526">
        <f t="shared" si="50"/>
        <v>165.67005772138813</v>
      </c>
      <c r="I526">
        <f t="shared" si="51"/>
        <v>5.5555555555555556E-4</v>
      </c>
      <c r="J526">
        <f t="shared" si="52"/>
        <v>0</v>
      </c>
      <c r="K526">
        <f t="shared" si="53"/>
        <v>0.39760813853133153</v>
      </c>
    </row>
    <row r="527" spans="1:11" x14ac:dyDescent="0.35">
      <c r="A527" s="2" t="s">
        <v>6</v>
      </c>
      <c r="B527" s="2">
        <v>524</v>
      </c>
      <c r="C527" s="2">
        <v>524</v>
      </c>
      <c r="D527" s="14">
        <v>15.5</v>
      </c>
      <c r="E527" s="1">
        <f t="shared" si="48"/>
        <v>-0.81944444444444442</v>
      </c>
      <c r="F527">
        <f t="shared" si="49"/>
        <v>0</v>
      </c>
      <c r="G527">
        <f t="shared" si="50"/>
        <v>144.26325251019753</v>
      </c>
      <c r="I527">
        <f t="shared" si="51"/>
        <v>5.5555555555555556E-4</v>
      </c>
      <c r="J527">
        <f t="shared" si="52"/>
        <v>0</v>
      </c>
      <c r="K527">
        <f t="shared" si="53"/>
        <v>0.34623180602447406</v>
      </c>
    </row>
    <row r="528" spans="1:11" x14ac:dyDescent="0.35">
      <c r="A528" s="2" t="s">
        <v>6</v>
      </c>
      <c r="B528" s="2">
        <v>525</v>
      </c>
      <c r="C528" s="2">
        <v>525</v>
      </c>
      <c r="D528" s="14">
        <v>11.9</v>
      </c>
      <c r="E528" s="1">
        <f t="shared" si="48"/>
        <v>-1.0972222222222223</v>
      </c>
      <c r="F528">
        <f t="shared" si="49"/>
        <v>0</v>
      </c>
      <c r="G528">
        <f t="shared" si="50"/>
        <v>110.75694870137747</v>
      </c>
      <c r="I528">
        <f t="shared" si="51"/>
        <v>5.5555555555555556E-4</v>
      </c>
      <c r="J528">
        <f t="shared" si="52"/>
        <v>0</v>
      </c>
      <c r="K528">
        <f t="shared" si="53"/>
        <v>0.26581667688330596</v>
      </c>
    </row>
    <row r="529" spans="1:11" x14ac:dyDescent="0.35">
      <c r="A529" s="2" t="s">
        <v>6</v>
      </c>
      <c r="B529" s="2">
        <v>526</v>
      </c>
      <c r="C529" s="2">
        <v>526</v>
      </c>
      <c r="D529" s="14">
        <v>7.6</v>
      </c>
      <c r="E529" s="1">
        <f t="shared" si="48"/>
        <v>-1.0972222222222223</v>
      </c>
      <c r="F529">
        <f t="shared" si="49"/>
        <v>0</v>
      </c>
      <c r="G529">
        <f t="shared" si="50"/>
        <v>70.735530263064604</v>
      </c>
      <c r="I529">
        <f t="shared" si="51"/>
        <v>5.5555555555555556E-4</v>
      </c>
      <c r="J529">
        <f t="shared" si="52"/>
        <v>0</v>
      </c>
      <c r="K529">
        <f t="shared" si="53"/>
        <v>0.16976527263135505</v>
      </c>
    </row>
    <row r="530" spans="1:11" x14ac:dyDescent="0.35">
      <c r="A530" s="2" t="s">
        <v>6</v>
      </c>
      <c r="B530" s="2">
        <v>527</v>
      </c>
      <c r="C530" s="2">
        <v>527</v>
      </c>
      <c r="D530" s="14">
        <v>4</v>
      </c>
      <c r="E530" s="1">
        <f t="shared" si="48"/>
        <v>-0.77777777777777768</v>
      </c>
      <c r="F530">
        <f t="shared" si="49"/>
        <v>0</v>
      </c>
      <c r="G530">
        <f t="shared" si="50"/>
        <v>37.229226454244525</v>
      </c>
      <c r="I530">
        <f t="shared" si="51"/>
        <v>5.5555555555555556E-4</v>
      </c>
      <c r="J530">
        <f t="shared" si="52"/>
        <v>0</v>
      </c>
      <c r="K530">
        <f t="shared" si="53"/>
        <v>8.9350143490186856E-2</v>
      </c>
    </row>
    <row r="531" spans="1:11" x14ac:dyDescent="0.35">
      <c r="A531" s="2" t="s">
        <v>6</v>
      </c>
      <c r="B531" s="2">
        <v>528</v>
      </c>
      <c r="C531" s="2">
        <v>528</v>
      </c>
      <c r="D531" s="14">
        <v>2</v>
      </c>
      <c r="E531" s="1">
        <f t="shared" si="48"/>
        <v>-0.41666666666666663</v>
      </c>
      <c r="F531">
        <f t="shared" si="49"/>
        <v>0</v>
      </c>
      <c r="G531">
        <f t="shared" si="50"/>
        <v>18.614613227122263</v>
      </c>
      <c r="I531">
        <f t="shared" si="51"/>
        <v>5.5555555555555556E-4</v>
      </c>
      <c r="J531">
        <f t="shared" si="52"/>
        <v>0</v>
      </c>
      <c r="K531">
        <f t="shared" si="53"/>
        <v>4.4675071745093428E-2</v>
      </c>
    </row>
    <row r="532" spans="1:11" x14ac:dyDescent="0.35">
      <c r="A532" s="2" t="s">
        <v>6</v>
      </c>
      <c r="B532" s="2">
        <v>529</v>
      </c>
      <c r="C532" s="2">
        <v>529</v>
      </c>
      <c r="D532" s="14">
        <v>1</v>
      </c>
      <c r="E532" s="1">
        <f t="shared" si="48"/>
        <v>-0.27777777777777779</v>
      </c>
      <c r="F532">
        <f t="shared" si="49"/>
        <v>0</v>
      </c>
      <c r="G532">
        <f t="shared" si="50"/>
        <v>9.3073066135611313</v>
      </c>
      <c r="I532">
        <f t="shared" si="51"/>
        <v>5.5555555555555556E-4</v>
      </c>
      <c r="J532">
        <f t="shared" si="52"/>
        <v>0</v>
      </c>
      <c r="K532">
        <f t="shared" si="53"/>
        <v>2.2337535872546714E-2</v>
      </c>
    </row>
    <row r="533" spans="1:11" x14ac:dyDescent="0.35">
      <c r="A533" s="2" t="s">
        <v>6</v>
      </c>
      <c r="B533" s="2">
        <v>530</v>
      </c>
      <c r="C533" s="2">
        <v>530</v>
      </c>
      <c r="D533" s="14">
        <v>0</v>
      </c>
      <c r="E533" s="1">
        <f t="shared" si="48"/>
        <v>-0.1388888888888889</v>
      </c>
      <c r="F533">
        <f t="shared" si="49"/>
        <v>0</v>
      </c>
      <c r="G533">
        <f t="shared" si="50"/>
        <v>0</v>
      </c>
      <c r="I533">
        <f t="shared" si="51"/>
        <v>5.5555555555555556E-4</v>
      </c>
      <c r="J533">
        <f t="shared" si="52"/>
        <v>0</v>
      </c>
      <c r="K533">
        <f t="shared" si="53"/>
        <v>0</v>
      </c>
    </row>
    <row r="534" spans="1:11" x14ac:dyDescent="0.35">
      <c r="A534" s="2" t="s">
        <v>6</v>
      </c>
      <c r="B534" s="2">
        <v>531</v>
      </c>
      <c r="C534" s="2">
        <v>531</v>
      </c>
      <c r="D534" s="14">
        <v>0</v>
      </c>
      <c r="E534" s="1">
        <f t="shared" si="48"/>
        <v>0</v>
      </c>
      <c r="F534">
        <f t="shared" si="49"/>
        <v>0</v>
      </c>
      <c r="G534">
        <f t="shared" si="50"/>
        <v>0</v>
      </c>
      <c r="I534">
        <f t="shared" si="51"/>
        <v>5.5555555555555556E-4</v>
      </c>
      <c r="J534">
        <f t="shared" si="52"/>
        <v>0</v>
      </c>
      <c r="K534">
        <f t="shared" si="53"/>
        <v>0</v>
      </c>
    </row>
    <row r="535" spans="1:11" x14ac:dyDescent="0.35">
      <c r="A535" s="2" t="s">
        <v>6</v>
      </c>
      <c r="B535" s="2">
        <v>532</v>
      </c>
      <c r="C535" s="2">
        <v>532</v>
      </c>
      <c r="D535" s="14">
        <v>0</v>
      </c>
      <c r="E535" s="1">
        <f t="shared" si="48"/>
        <v>2.777777777777778E-2</v>
      </c>
      <c r="F535">
        <f t="shared" si="49"/>
        <v>0</v>
      </c>
      <c r="G535">
        <f t="shared" si="50"/>
        <v>0</v>
      </c>
      <c r="I535">
        <f t="shared" si="51"/>
        <v>5.5555555555555556E-4</v>
      </c>
      <c r="J535">
        <f t="shared" si="52"/>
        <v>0</v>
      </c>
      <c r="K535">
        <f t="shared" si="53"/>
        <v>0</v>
      </c>
    </row>
    <row r="536" spans="1:11" x14ac:dyDescent="0.35">
      <c r="A536" s="2" t="s">
        <v>6</v>
      </c>
      <c r="B536" s="2">
        <v>533</v>
      </c>
      <c r="C536" s="2">
        <v>533</v>
      </c>
      <c r="D536" s="14">
        <v>0.2</v>
      </c>
      <c r="E536" s="1">
        <f t="shared" si="48"/>
        <v>0.16666666666666666</v>
      </c>
      <c r="F536">
        <f t="shared" si="49"/>
        <v>143.10077929629628</v>
      </c>
      <c r="G536">
        <f t="shared" si="50"/>
        <v>1.8614613227122263</v>
      </c>
      <c r="I536">
        <f t="shared" si="51"/>
        <v>5.5555555555555556E-4</v>
      </c>
      <c r="J536">
        <f t="shared" si="52"/>
        <v>0.19875108235596706</v>
      </c>
      <c r="K536">
        <f t="shared" si="53"/>
        <v>4.4675071745093435E-3</v>
      </c>
    </row>
    <row r="537" spans="1:11" x14ac:dyDescent="0.35">
      <c r="A537" s="2" t="s">
        <v>6</v>
      </c>
      <c r="B537" s="2">
        <v>534</v>
      </c>
      <c r="C537" s="2">
        <v>534</v>
      </c>
      <c r="D537" s="14">
        <v>1.2</v>
      </c>
      <c r="E537" s="1">
        <f t="shared" si="48"/>
        <v>0.41666666666666663</v>
      </c>
      <c r="F537">
        <f t="shared" si="49"/>
        <v>257.11405466666662</v>
      </c>
      <c r="G537">
        <f t="shared" si="50"/>
        <v>11.168767936273358</v>
      </c>
      <c r="I537">
        <f t="shared" si="51"/>
        <v>5.5555555555555556E-4</v>
      </c>
      <c r="J537">
        <f t="shared" si="52"/>
        <v>0.35710285370370365</v>
      </c>
      <c r="K537">
        <f t="shared" si="53"/>
        <v>2.6805043047056061E-2</v>
      </c>
    </row>
    <row r="538" spans="1:11" x14ac:dyDescent="0.35">
      <c r="A538" s="2" t="s">
        <v>6</v>
      </c>
      <c r="B538" s="2">
        <v>535</v>
      </c>
      <c r="C538" s="2">
        <v>535</v>
      </c>
      <c r="D538" s="14">
        <v>3.2</v>
      </c>
      <c r="E538" s="1">
        <f t="shared" si="48"/>
        <v>0.55555555555555558</v>
      </c>
      <c r="F538">
        <f t="shared" si="49"/>
        <v>320.53083318518514</v>
      </c>
      <c r="G538">
        <f t="shared" si="50"/>
        <v>29.783381163395621</v>
      </c>
      <c r="I538">
        <f t="shared" si="51"/>
        <v>5.5555555555555556E-4</v>
      </c>
      <c r="J538">
        <f t="shared" si="52"/>
        <v>0.44518171275720159</v>
      </c>
      <c r="K538">
        <f t="shared" si="53"/>
        <v>7.1480114792149496E-2</v>
      </c>
    </row>
    <row r="539" spans="1:11" x14ac:dyDescent="0.35">
      <c r="A539" s="2" t="s">
        <v>6</v>
      </c>
      <c r="B539" s="2">
        <v>536</v>
      </c>
      <c r="C539" s="2">
        <v>536</v>
      </c>
      <c r="D539" s="14">
        <v>5.2</v>
      </c>
      <c r="E539" s="1">
        <f t="shared" si="48"/>
        <v>0.69444444444444431</v>
      </c>
      <c r="F539">
        <f t="shared" si="49"/>
        <v>384.0234709629629</v>
      </c>
      <c r="G539">
        <f t="shared" si="50"/>
        <v>48.397994390517887</v>
      </c>
      <c r="I539">
        <f t="shared" si="51"/>
        <v>5.5555555555555556E-4</v>
      </c>
      <c r="J539">
        <f t="shared" si="52"/>
        <v>0.53336593189300407</v>
      </c>
      <c r="K539">
        <f t="shared" si="53"/>
        <v>0.11615518653724292</v>
      </c>
    </row>
    <row r="540" spans="1:11" x14ac:dyDescent="0.35">
      <c r="A540" s="2" t="s">
        <v>6</v>
      </c>
      <c r="B540" s="2">
        <v>537</v>
      </c>
      <c r="C540" s="2">
        <v>537</v>
      </c>
      <c r="D540" s="14">
        <v>8.1999999999999993</v>
      </c>
      <c r="E540" s="1">
        <f t="shared" si="48"/>
        <v>1.0833333333333333</v>
      </c>
      <c r="F540">
        <f t="shared" si="49"/>
        <v>561.73799707407397</v>
      </c>
      <c r="G540">
        <f t="shared" si="50"/>
        <v>76.319914231201267</v>
      </c>
      <c r="I540">
        <f t="shared" si="51"/>
        <v>5.5555555555555556E-4</v>
      </c>
      <c r="J540">
        <f t="shared" si="52"/>
        <v>0.78019166260288053</v>
      </c>
      <c r="K540">
        <f t="shared" si="53"/>
        <v>0.18316779415488305</v>
      </c>
    </row>
    <row r="541" spans="1:11" x14ac:dyDescent="0.35">
      <c r="A541" s="2" t="s">
        <v>6</v>
      </c>
      <c r="B541" s="2">
        <v>538</v>
      </c>
      <c r="C541" s="2">
        <v>538</v>
      </c>
      <c r="D541" s="14">
        <v>13</v>
      </c>
      <c r="E541" s="1">
        <f t="shared" si="48"/>
        <v>1.4722222222222223</v>
      </c>
      <c r="F541">
        <f t="shared" si="49"/>
        <v>740.03626018518514</v>
      </c>
      <c r="G541">
        <f t="shared" si="50"/>
        <v>120.99498597629471</v>
      </c>
      <c r="I541">
        <f t="shared" si="51"/>
        <v>5.5555555555555556E-4</v>
      </c>
      <c r="J541">
        <f t="shared" si="52"/>
        <v>1.0278281391460904</v>
      </c>
      <c r="K541">
        <f t="shared" si="53"/>
        <v>0.29038796634310732</v>
      </c>
    </row>
    <row r="542" spans="1:11" x14ac:dyDescent="0.35">
      <c r="A542" s="2" t="s">
        <v>6</v>
      </c>
      <c r="B542" s="2">
        <v>539</v>
      </c>
      <c r="C542" s="2">
        <v>539</v>
      </c>
      <c r="D542" s="14">
        <v>18.8</v>
      </c>
      <c r="E542" s="1">
        <f t="shared" si="48"/>
        <v>1.4027777777777779</v>
      </c>
      <c r="F542">
        <f t="shared" si="49"/>
        <v>710.11852874074089</v>
      </c>
      <c r="G542">
        <f t="shared" si="50"/>
        <v>174.97736433494927</v>
      </c>
      <c r="I542">
        <f t="shared" si="51"/>
        <v>5.5555555555555556E-4</v>
      </c>
      <c r="J542">
        <f t="shared" si="52"/>
        <v>0.98627573436214011</v>
      </c>
      <c r="K542">
        <f t="shared" si="53"/>
        <v>0.41994567440387826</v>
      </c>
    </row>
    <row r="543" spans="1:11" x14ac:dyDescent="0.35">
      <c r="A543" s="2" t="s">
        <v>6</v>
      </c>
      <c r="B543" s="2">
        <v>540</v>
      </c>
      <c r="C543" s="2">
        <v>540</v>
      </c>
      <c r="D543" s="14">
        <v>23.1</v>
      </c>
      <c r="E543" s="1">
        <f t="shared" si="48"/>
        <v>0.79166666666666652</v>
      </c>
      <c r="F543">
        <f t="shared" si="49"/>
        <v>433.16030741666657</v>
      </c>
      <c r="G543">
        <f t="shared" si="50"/>
        <v>214.99878277326215</v>
      </c>
      <c r="I543">
        <f t="shared" si="51"/>
        <v>5.5555555555555556E-4</v>
      </c>
      <c r="J543">
        <f t="shared" si="52"/>
        <v>0.6016115380787036</v>
      </c>
      <c r="K543">
        <f t="shared" si="53"/>
        <v>0.51599707865582911</v>
      </c>
    </row>
    <row r="544" spans="1:11" x14ac:dyDescent="0.35">
      <c r="A544" s="2" t="s">
        <v>6</v>
      </c>
      <c r="B544" s="2">
        <v>541</v>
      </c>
      <c r="C544" s="2">
        <v>541</v>
      </c>
      <c r="D544" s="14">
        <v>24.5</v>
      </c>
      <c r="E544" s="1">
        <f t="shared" si="48"/>
        <v>0.19444444444444425</v>
      </c>
      <c r="F544">
        <f t="shared" si="49"/>
        <v>161.45888171296286</v>
      </c>
      <c r="G544">
        <f t="shared" si="50"/>
        <v>228.02901203224772</v>
      </c>
      <c r="I544">
        <f t="shared" si="51"/>
        <v>5.5555555555555556E-4</v>
      </c>
      <c r="J544">
        <f t="shared" si="52"/>
        <v>0.22424844682355954</v>
      </c>
      <c r="K544">
        <f t="shared" si="53"/>
        <v>0.5472696288773945</v>
      </c>
    </row>
    <row r="545" spans="1:11" x14ac:dyDescent="0.35">
      <c r="A545" s="2" t="s">
        <v>6</v>
      </c>
      <c r="B545" s="2">
        <v>542</v>
      </c>
      <c r="C545" s="2">
        <v>542</v>
      </c>
      <c r="D545" s="14">
        <v>24.5</v>
      </c>
      <c r="E545" s="1">
        <f t="shared" si="48"/>
        <v>-2.7777777777777679E-2</v>
      </c>
      <c r="F545">
        <f t="shared" si="49"/>
        <v>60.12554837962967</v>
      </c>
      <c r="G545">
        <f t="shared" si="50"/>
        <v>228.02901203224772</v>
      </c>
      <c r="I545">
        <f t="shared" si="51"/>
        <v>5.5555555555555556E-4</v>
      </c>
      <c r="J545">
        <f t="shared" si="52"/>
        <v>8.3507706082818989E-2</v>
      </c>
      <c r="K545">
        <f t="shared" si="53"/>
        <v>0.5472696288773945</v>
      </c>
    </row>
    <row r="546" spans="1:11" x14ac:dyDescent="0.35">
      <c r="A546" s="2" t="s">
        <v>6</v>
      </c>
      <c r="B546" s="2">
        <v>543</v>
      </c>
      <c r="C546" s="2">
        <v>543</v>
      </c>
      <c r="D546" s="14">
        <v>24.3</v>
      </c>
      <c r="E546" s="1">
        <f t="shared" si="48"/>
        <v>-0.12499999999999981</v>
      </c>
      <c r="F546">
        <f t="shared" si="49"/>
        <v>15.699666750000089</v>
      </c>
      <c r="G546">
        <f t="shared" si="50"/>
        <v>226.1675507095355</v>
      </c>
      <c r="I546">
        <f t="shared" si="51"/>
        <v>5.5555555555555556E-4</v>
      </c>
      <c r="J546">
        <f t="shared" si="52"/>
        <v>2.1805092708333456E-2</v>
      </c>
      <c r="K546">
        <f t="shared" si="53"/>
        <v>0.54280212170288522</v>
      </c>
    </row>
    <row r="547" spans="1:11" x14ac:dyDescent="0.35">
      <c r="A547" s="2" t="s">
        <v>6</v>
      </c>
      <c r="B547" s="2">
        <v>544</v>
      </c>
      <c r="C547" s="2">
        <v>544</v>
      </c>
      <c r="D547" s="14">
        <v>23.6</v>
      </c>
      <c r="E547" s="1">
        <f t="shared" si="48"/>
        <v>-0.27777777777777779</v>
      </c>
      <c r="F547">
        <f t="shared" si="49"/>
        <v>0</v>
      </c>
      <c r="G547">
        <f t="shared" si="50"/>
        <v>219.65243608004272</v>
      </c>
      <c r="I547">
        <f t="shared" si="51"/>
        <v>5.5555555555555556E-4</v>
      </c>
      <c r="J547">
        <f t="shared" si="52"/>
        <v>0</v>
      </c>
      <c r="K547">
        <f t="shared" si="53"/>
        <v>0.52716584659210253</v>
      </c>
    </row>
    <row r="548" spans="1:11" x14ac:dyDescent="0.35">
      <c r="A548" s="2" t="s">
        <v>6</v>
      </c>
      <c r="B548" s="2">
        <v>545</v>
      </c>
      <c r="C548" s="2">
        <v>545</v>
      </c>
      <c r="D548" s="14">
        <v>22.3</v>
      </c>
      <c r="E548" s="1">
        <f t="shared" si="48"/>
        <v>-0.4861111111111111</v>
      </c>
      <c r="F548">
        <f t="shared" si="49"/>
        <v>0</v>
      </c>
      <c r="G548">
        <f t="shared" si="50"/>
        <v>207.55293748241323</v>
      </c>
      <c r="I548">
        <f t="shared" si="51"/>
        <v>5.5555555555555556E-4</v>
      </c>
      <c r="J548">
        <f t="shared" si="52"/>
        <v>0</v>
      </c>
      <c r="K548">
        <f t="shared" si="53"/>
        <v>0.49812704995779178</v>
      </c>
    </row>
    <row r="549" spans="1:11" x14ac:dyDescent="0.35">
      <c r="A549" s="2" t="s">
        <v>6</v>
      </c>
      <c r="B549" s="2">
        <v>546</v>
      </c>
      <c r="C549" s="2">
        <v>546</v>
      </c>
      <c r="D549" s="14">
        <v>20.100000000000001</v>
      </c>
      <c r="E549" s="1">
        <f t="shared" si="48"/>
        <v>-0.5277777777777779</v>
      </c>
      <c r="F549">
        <f t="shared" si="49"/>
        <v>0</v>
      </c>
      <c r="G549">
        <f t="shared" si="50"/>
        <v>187.07686293257873</v>
      </c>
      <c r="I549">
        <f t="shared" si="51"/>
        <v>5.5555555555555556E-4</v>
      </c>
      <c r="J549">
        <f t="shared" si="52"/>
        <v>0</v>
      </c>
      <c r="K549">
        <f t="shared" si="53"/>
        <v>0.448984471038189</v>
      </c>
    </row>
    <row r="550" spans="1:11" x14ac:dyDescent="0.35">
      <c r="A550" s="2" t="s">
        <v>6</v>
      </c>
      <c r="B550" s="2">
        <v>547</v>
      </c>
      <c r="C550" s="2">
        <v>547</v>
      </c>
      <c r="D550" s="14">
        <v>18.5</v>
      </c>
      <c r="E550" s="1">
        <f t="shared" si="48"/>
        <v>-0.40277777777777807</v>
      </c>
      <c r="F550">
        <f t="shared" si="49"/>
        <v>0</v>
      </c>
      <c r="G550">
        <f t="shared" si="50"/>
        <v>172.18517235088095</v>
      </c>
      <c r="I550">
        <f t="shared" si="51"/>
        <v>5.5555555555555556E-4</v>
      </c>
      <c r="J550">
        <f t="shared" si="52"/>
        <v>0</v>
      </c>
      <c r="K550">
        <f t="shared" si="53"/>
        <v>0.41324441364211428</v>
      </c>
    </row>
    <row r="551" spans="1:11" x14ac:dyDescent="0.35">
      <c r="A551" s="2" t="s">
        <v>6</v>
      </c>
      <c r="B551" s="2">
        <v>548</v>
      </c>
      <c r="C551" s="2">
        <v>548</v>
      </c>
      <c r="D551" s="14">
        <v>17.2</v>
      </c>
      <c r="E551" s="1">
        <f t="shared" si="48"/>
        <v>-0.30555555555555547</v>
      </c>
      <c r="F551">
        <f t="shared" si="49"/>
        <v>0</v>
      </c>
      <c r="G551">
        <f t="shared" si="50"/>
        <v>160.08567375325146</v>
      </c>
      <c r="I551">
        <f t="shared" si="51"/>
        <v>5.5555555555555556E-4</v>
      </c>
      <c r="J551">
        <f t="shared" si="52"/>
        <v>0</v>
      </c>
      <c r="K551">
        <f t="shared" si="53"/>
        <v>0.38420561700780353</v>
      </c>
    </row>
    <row r="552" spans="1:11" x14ac:dyDescent="0.35">
      <c r="A552" s="2" t="s">
        <v>6</v>
      </c>
      <c r="B552" s="2">
        <v>549</v>
      </c>
      <c r="C552" s="2">
        <v>549</v>
      </c>
      <c r="D552" s="14">
        <v>16.3</v>
      </c>
      <c r="E552" s="1">
        <f t="shared" si="48"/>
        <v>-0.24999999999999983</v>
      </c>
      <c r="F552">
        <f t="shared" si="49"/>
        <v>0</v>
      </c>
      <c r="G552">
        <f t="shared" si="50"/>
        <v>151.70909780104645</v>
      </c>
      <c r="I552">
        <f t="shared" si="51"/>
        <v>5.5555555555555556E-4</v>
      </c>
      <c r="J552">
        <f t="shared" si="52"/>
        <v>0</v>
      </c>
      <c r="K552">
        <f t="shared" si="53"/>
        <v>0.36410183472251151</v>
      </c>
    </row>
    <row r="553" spans="1:11" x14ac:dyDescent="0.35">
      <c r="A553" s="2" t="s">
        <v>6</v>
      </c>
      <c r="B553" s="2">
        <v>550</v>
      </c>
      <c r="C553" s="2">
        <v>550</v>
      </c>
      <c r="D553" s="14">
        <v>15.4</v>
      </c>
      <c r="E553" s="1">
        <f t="shared" si="48"/>
        <v>-0.2222222222222224</v>
      </c>
      <c r="F553">
        <f t="shared" si="49"/>
        <v>0</v>
      </c>
      <c r="G553">
        <f t="shared" si="50"/>
        <v>143.33252184884142</v>
      </c>
      <c r="I553">
        <f t="shared" si="51"/>
        <v>5.5555555555555556E-4</v>
      </c>
      <c r="J553">
        <f t="shared" si="52"/>
        <v>0</v>
      </c>
      <c r="K553">
        <f t="shared" si="53"/>
        <v>0.34399805243721943</v>
      </c>
    </row>
    <row r="554" spans="1:11" x14ac:dyDescent="0.35">
      <c r="A554" s="2" t="s">
        <v>6</v>
      </c>
      <c r="B554" s="2">
        <v>551</v>
      </c>
      <c r="C554" s="2">
        <v>551</v>
      </c>
      <c r="D554" s="14">
        <v>14.7</v>
      </c>
      <c r="E554" s="1">
        <f t="shared" si="48"/>
        <v>-0.15277777777777773</v>
      </c>
      <c r="F554">
        <f t="shared" si="49"/>
        <v>0</v>
      </c>
      <c r="G554">
        <f t="shared" si="50"/>
        <v>136.81740721934864</v>
      </c>
      <c r="I554">
        <f t="shared" si="51"/>
        <v>5.5555555555555556E-4</v>
      </c>
      <c r="J554">
        <f t="shared" si="52"/>
        <v>0</v>
      </c>
      <c r="K554">
        <f t="shared" si="53"/>
        <v>0.32836177732643673</v>
      </c>
    </row>
    <row r="555" spans="1:11" x14ac:dyDescent="0.35">
      <c r="A555" s="2" t="s">
        <v>6</v>
      </c>
      <c r="B555" s="2">
        <v>552</v>
      </c>
      <c r="C555" s="2">
        <v>552</v>
      </c>
      <c r="D555" s="14">
        <v>14.3</v>
      </c>
      <c r="E555" s="1">
        <f t="shared" si="48"/>
        <v>-0.1388888888888889</v>
      </c>
      <c r="F555">
        <f t="shared" si="49"/>
        <v>5.7061241574074044</v>
      </c>
      <c r="G555">
        <f t="shared" si="50"/>
        <v>133.09448457392418</v>
      </c>
      <c r="I555">
        <f t="shared" si="51"/>
        <v>5.5555555555555556E-4</v>
      </c>
      <c r="J555">
        <f t="shared" si="52"/>
        <v>7.925172440843618E-3</v>
      </c>
      <c r="K555">
        <f t="shared" si="53"/>
        <v>0.31942676297741801</v>
      </c>
    </row>
    <row r="556" spans="1:11" x14ac:dyDescent="0.35">
      <c r="A556" s="2" t="s">
        <v>6</v>
      </c>
      <c r="B556" s="2">
        <v>553</v>
      </c>
      <c r="C556" s="2">
        <v>553</v>
      </c>
      <c r="D556" s="14">
        <v>13.7</v>
      </c>
      <c r="E556" s="1">
        <f t="shared" si="48"/>
        <v>-0.1388888888888889</v>
      </c>
      <c r="F556">
        <f t="shared" si="49"/>
        <v>5.5468197129629591</v>
      </c>
      <c r="G556">
        <f t="shared" si="50"/>
        <v>127.5101006057875</v>
      </c>
      <c r="I556">
        <f t="shared" si="51"/>
        <v>5.5555555555555556E-4</v>
      </c>
      <c r="J556">
        <f t="shared" si="52"/>
        <v>7.7039162680041101E-3</v>
      </c>
      <c r="K556">
        <f t="shared" si="53"/>
        <v>0.30602424145389001</v>
      </c>
    </row>
    <row r="557" spans="1:11" x14ac:dyDescent="0.35">
      <c r="A557" s="2" t="s">
        <v>6</v>
      </c>
      <c r="B557" s="2">
        <v>554</v>
      </c>
      <c r="C557" s="2">
        <v>554</v>
      </c>
      <c r="D557" s="14">
        <v>13.3</v>
      </c>
      <c r="E557" s="1">
        <f t="shared" si="48"/>
        <v>-8.3333333333333287E-2</v>
      </c>
      <c r="F557">
        <f t="shared" si="49"/>
        <v>30.777743046296315</v>
      </c>
      <c r="G557">
        <f t="shared" si="50"/>
        <v>123.78717796036305</v>
      </c>
      <c r="I557">
        <f t="shared" si="51"/>
        <v>5.5555555555555556E-4</v>
      </c>
      <c r="J557">
        <f t="shared" si="52"/>
        <v>4.2746865342078215E-2</v>
      </c>
      <c r="K557">
        <f t="shared" si="53"/>
        <v>0.29708922710487135</v>
      </c>
    </row>
    <row r="558" spans="1:11" x14ac:dyDescent="0.35">
      <c r="A558" s="2" t="s">
        <v>6</v>
      </c>
      <c r="B558" s="2">
        <v>555</v>
      </c>
      <c r="C558" s="2">
        <v>555</v>
      </c>
      <c r="D558" s="14">
        <v>13.1</v>
      </c>
      <c r="E558" s="1">
        <f t="shared" si="48"/>
        <v>-2.7777777777777925E-2</v>
      </c>
      <c r="F558">
        <f t="shared" si="49"/>
        <v>56.06100926851844</v>
      </c>
      <c r="G558">
        <f t="shared" si="50"/>
        <v>121.92571663765082</v>
      </c>
      <c r="I558">
        <f t="shared" si="51"/>
        <v>5.5555555555555556E-4</v>
      </c>
      <c r="J558">
        <f t="shared" si="52"/>
        <v>7.7862512872942283E-2</v>
      </c>
      <c r="K558">
        <f t="shared" si="53"/>
        <v>0.29262171993036196</v>
      </c>
    </row>
    <row r="559" spans="1:11" x14ac:dyDescent="0.35">
      <c r="A559" s="2" t="s">
        <v>6</v>
      </c>
      <c r="B559" s="2">
        <v>556</v>
      </c>
      <c r="C559" s="2">
        <v>556</v>
      </c>
      <c r="D559" s="14">
        <v>13.1</v>
      </c>
      <c r="E559" s="1">
        <f t="shared" si="48"/>
        <v>2.7777777777777925E-2</v>
      </c>
      <c r="F559">
        <f t="shared" si="49"/>
        <v>81.394342601851918</v>
      </c>
      <c r="G559">
        <f t="shared" si="50"/>
        <v>121.92571663765082</v>
      </c>
      <c r="I559">
        <f t="shared" si="51"/>
        <v>5.5555555555555556E-4</v>
      </c>
      <c r="J559">
        <f t="shared" si="52"/>
        <v>0.11304769805812766</v>
      </c>
      <c r="K559">
        <f t="shared" si="53"/>
        <v>0.29262171993036196</v>
      </c>
    </row>
    <row r="560" spans="1:11" x14ac:dyDescent="0.35">
      <c r="A560" s="2" t="s">
        <v>6</v>
      </c>
      <c r="B560" s="2">
        <v>557</v>
      </c>
      <c r="C560" s="2">
        <v>557</v>
      </c>
      <c r="D560" s="14">
        <v>13.3</v>
      </c>
      <c r="E560" s="1">
        <f t="shared" si="48"/>
        <v>9.7222222222222363E-2</v>
      </c>
      <c r="F560">
        <f t="shared" si="49"/>
        <v>113.11107637962968</v>
      </c>
      <c r="G560">
        <f t="shared" si="50"/>
        <v>123.78717796036305</v>
      </c>
      <c r="I560">
        <f t="shared" si="51"/>
        <v>5.5555555555555556E-4</v>
      </c>
      <c r="J560">
        <f t="shared" si="52"/>
        <v>0.15709871719393012</v>
      </c>
      <c r="K560">
        <f t="shared" si="53"/>
        <v>0.29708922710487135</v>
      </c>
    </row>
    <row r="561" spans="1:11" x14ac:dyDescent="0.35">
      <c r="A561" s="2" t="s">
        <v>6</v>
      </c>
      <c r="B561" s="2">
        <v>558</v>
      </c>
      <c r="C561" s="2">
        <v>558</v>
      </c>
      <c r="D561" s="14">
        <v>13.8</v>
      </c>
      <c r="E561" s="1">
        <f t="shared" si="48"/>
        <v>0.16666666666666657</v>
      </c>
      <c r="F561">
        <f t="shared" si="49"/>
        <v>144.9062296666666</v>
      </c>
      <c r="G561">
        <f t="shared" si="50"/>
        <v>128.44083126714361</v>
      </c>
      <c r="I561">
        <f t="shared" si="51"/>
        <v>5.5555555555555556E-4</v>
      </c>
      <c r="J561">
        <f t="shared" si="52"/>
        <v>0.20125865231481474</v>
      </c>
      <c r="K561">
        <f t="shared" si="53"/>
        <v>0.30825799504114471</v>
      </c>
    </row>
    <row r="562" spans="1:11" x14ac:dyDescent="0.35">
      <c r="A562" s="2" t="s">
        <v>6</v>
      </c>
      <c r="B562" s="2">
        <v>559</v>
      </c>
      <c r="C562" s="2">
        <v>559</v>
      </c>
      <c r="D562" s="14">
        <v>14.5</v>
      </c>
      <c r="E562" s="1">
        <f t="shared" si="48"/>
        <v>0.37499999999999989</v>
      </c>
      <c r="F562">
        <f t="shared" si="49"/>
        <v>240.09407615740733</v>
      </c>
      <c r="G562">
        <f t="shared" si="50"/>
        <v>134.95594589663642</v>
      </c>
      <c r="I562">
        <f t="shared" si="51"/>
        <v>5.5555555555555556E-4</v>
      </c>
      <c r="J562">
        <f t="shared" si="52"/>
        <v>0.33346399466306575</v>
      </c>
      <c r="K562">
        <f t="shared" si="53"/>
        <v>0.3238942701519274</v>
      </c>
    </row>
    <row r="563" spans="1:11" x14ac:dyDescent="0.35">
      <c r="A563" s="2" t="s">
        <v>6</v>
      </c>
      <c r="B563" s="2">
        <v>560</v>
      </c>
      <c r="C563" s="2">
        <v>560</v>
      </c>
      <c r="D563" s="14">
        <v>16.5</v>
      </c>
      <c r="E563" s="1">
        <f t="shared" si="48"/>
        <v>0.34722222222222221</v>
      </c>
      <c r="F563">
        <f t="shared" si="49"/>
        <v>228.01531874999995</v>
      </c>
      <c r="G563">
        <f t="shared" si="50"/>
        <v>153.57055912375867</v>
      </c>
      <c r="I563">
        <f t="shared" si="51"/>
        <v>5.5555555555555556E-4</v>
      </c>
      <c r="J563">
        <f t="shared" si="52"/>
        <v>0.31668794270833328</v>
      </c>
      <c r="K563">
        <f t="shared" si="53"/>
        <v>0.36856934189702079</v>
      </c>
    </row>
    <row r="564" spans="1:11" x14ac:dyDescent="0.35">
      <c r="A564" s="2" t="s">
        <v>6</v>
      </c>
      <c r="B564" s="2">
        <v>561</v>
      </c>
      <c r="C564" s="2">
        <v>561</v>
      </c>
      <c r="D564" s="14">
        <v>17</v>
      </c>
      <c r="E564" s="1">
        <f t="shared" si="48"/>
        <v>6.9444444444444448E-2</v>
      </c>
      <c r="F564">
        <f t="shared" si="49"/>
        <v>101.50748240740741</v>
      </c>
      <c r="G564">
        <f t="shared" si="50"/>
        <v>158.22421243053924</v>
      </c>
      <c r="I564">
        <f t="shared" si="51"/>
        <v>5.5555555555555556E-4</v>
      </c>
      <c r="J564">
        <f t="shared" si="52"/>
        <v>0.14098261445473251</v>
      </c>
      <c r="K564">
        <f t="shared" si="53"/>
        <v>0.3797381098332942</v>
      </c>
    </row>
    <row r="565" spans="1:11" x14ac:dyDescent="0.35">
      <c r="A565" s="2" t="s">
        <v>6</v>
      </c>
      <c r="B565" s="2">
        <v>562</v>
      </c>
      <c r="C565" s="2">
        <v>562</v>
      </c>
      <c r="D565" s="14">
        <v>17</v>
      </c>
      <c r="E565" s="1">
        <f t="shared" si="48"/>
        <v>0</v>
      </c>
      <c r="F565">
        <f t="shared" si="49"/>
        <v>69.840815740740737</v>
      </c>
      <c r="G565">
        <f t="shared" si="50"/>
        <v>158.22421243053924</v>
      </c>
      <c r="I565">
        <f t="shared" si="51"/>
        <v>5.5555555555555556E-4</v>
      </c>
      <c r="J565">
        <f t="shared" si="52"/>
        <v>9.7001132973251025E-2</v>
      </c>
      <c r="K565">
        <f t="shared" si="53"/>
        <v>0.3797381098332942</v>
      </c>
    </row>
    <row r="566" spans="1:11" x14ac:dyDescent="0.35">
      <c r="A566" s="2" t="s">
        <v>6</v>
      </c>
      <c r="B566" s="2">
        <v>563</v>
      </c>
      <c r="C566" s="2">
        <v>563</v>
      </c>
      <c r="D566" s="14">
        <v>17</v>
      </c>
      <c r="E566" s="1">
        <f t="shared" si="48"/>
        <v>-0.22222222222222215</v>
      </c>
      <c r="F566">
        <f t="shared" si="49"/>
        <v>0</v>
      </c>
      <c r="G566">
        <f t="shared" si="50"/>
        <v>158.22421243053924</v>
      </c>
      <c r="I566">
        <f t="shared" si="51"/>
        <v>5.5555555555555556E-4</v>
      </c>
      <c r="J566">
        <f t="shared" si="52"/>
        <v>0</v>
      </c>
      <c r="K566">
        <f t="shared" si="53"/>
        <v>0.3797381098332942</v>
      </c>
    </row>
    <row r="567" spans="1:11" x14ac:dyDescent="0.35">
      <c r="A567" s="2" t="s">
        <v>6</v>
      </c>
      <c r="B567" s="2">
        <v>564</v>
      </c>
      <c r="C567" s="2">
        <v>564</v>
      </c>
      <c r="D567" s="14">
        <v>15.4</v>
      </c>
      <c r="E567" s="1">
        <f t="shared" si="48"/>
        <v>-0.95833333333333337</v>
      </c>
      <c r="F567">
        <f t="shared" si="49"/>
        <v>0</v>
      </c>
      <c r="G567">
        <f t="shared" si="50"/>
        <v>143.33252184884142</v>
      </c>
      <c r="I567">
        <f t="shared" si="51"/>
        <v>5.5555555555555556E-4</v>
      </c>
      <c r="J567">
        <f t="shared" si="52"/>
        <v>0</v>
      </c>
      <c r="K567">
        <f t="shared" si="53"/>
        <v>0.34399805243721943</v>
      </c>
    </row>
    <row r="568" spans="1:11" x14ac:dyDescent="0.35">
      <c r="A568" s="2" t="s">
        <v>6</v>
      </c>
      <c r="B568" s="2">
        <v>565</v>
      </c>
      <c r="C568" s="2">
        <v>565</v>
      </c>
      <c r="D568" s="14">
        <v>10.1</v>
      </c>
      <c r="E568" s="1">
        <f t="shared" si="48"/>
        <v>-1.4722222222222223</v>
      </c>
      <c r="F568">
        <f t="shared" si="49"/>
        <v>0</v>
      </c>
      <c r="G568">
        <f t="shared" si="50"/>
        <v>94.003796796967436</v>
      </c>
      <c r="I568">
        <f t="shared" si="51"/>
        <v>5.5555555555555556E-4</v>
      </c>
      <c r="J568">
        <f t="shared" si="52"/>
        <v>0</v>
      </c>
      <c r="K568">
        <f t="shared" si="53"/>
        <v>0.22560911231272185</v>
      </c>
    </row>
    <row r="569" spans="1:11" x14ac:dyDescent="0.35">
      <c r="A569" s="2" t="s">
        <v>6</v>
      </c>
      <c r="B569" s="2">
        <v>566</v>
      </c>
      <c r="C569" s="2">
        <v>566</v>
      </c>
      <c r="D569" s="14">
        <v>4.8</v>
      </c>
      <c r="E569" s="1">
        <f t="shared" si="48"/>
        <v>-1.4027777777777777</v>
      </c>
      <c r="F569">
        <f t="shared" si="49"/>
        <v>0</v>
      </c>
      <c r="G569">
        <f t="shared" si="50"/>
        <v>44.675071745093433</v>
      </c>
      <c r="I569">
        <f t="shared" si="51"/>
        <v>5.5555555555555556E-4</v>
      </c>
      <c r="J569">
        <f t="shared" si="52"/>
        <v>0</v>
      </c>
      <c r="K569">
        <f t="shared" si="53"/>
        <v>0.10722017218822424</v>
      </c>
    </row>
    <row r="570" spans="1:11" x14ac:dyDescent="0.35">
      <c r="A570" s="2" t="s">
        <v>6</v>
      </c>
      <c r="B570" s="2">
        <v>567</v>
      </c>
      <c r="C570" s="2">
        <v>567</v>
      </c>
      <c r="D570" s="14">
        <v>0</v>
      </c>
      <c r="E570" s="1">
        <f t="shared" si="48"/>
        <v>-0.66666666666666663</v>
      </c>
      <c r="F570">
        <f t="shared" si="49"/>
        <v>0</v>
      </c>
      <c r="G570">
        <f t="shared" si="50"/>
        <v>0</v>
      </c>
      <c r="I570">
        <f t="shared" si="51"/>
        <v>5.5555555555555556E-4</v>
      </c>
      <c r="J570">
        <f t="shared" si="52"/>
        <v>0</v>
      </c>
      <c r="K570">
        <f t="shared" si="53"/>
        <v>0</v>
      </c>
    </row>
    <row r="571" spans="1:11" x14ac:dyDescent="0.35">
      <c r="A571" s="2" t="s">
        <v>6</v>
      </c>
      <c r="B571" s="2">
        <v>568</v>
      </c>
      <c r="C571" s="2">
        <v>568</v>
      </c>
      <c r="D571" s="14">
        <v>0</v>
      </c>
      <c r="E571" s="1">
        <f t="shared" si="48"/>
        <v>0</v>
      </c>
      <c r="F571">
        <f t="shared" si="49"/>
        <v>0</v>
      </c>
      <c r="G571">
        <f t="shared" si="50"/>
        <v>0</v>
      </c>
      <c r="I571">
        <f t="shared" si="51"/>
        <v>5.5555555555555556E-4</v>
      </c>
      <c r="J571">
        <f t="shared" si="52"/>
        <v>0</v>
      </c>
      <c r="K571">
        <f t="shared" si="53"/>
        <v>0</v>
      </c>
    </row>
    <row r="572" spans="1:11" x14ac:dyDescent="0.35">
      <c r="A572" s="2" t="s">
        <v>6</v>
      </c>
      <c r="B572" s="2">
        <v>569</v>
      </c>
      <c r="C572" s="2">
        <v>569</v>
      </c>
      <c r="D572" s="14">
        <v>0</v>
      </c>
      <c r="E572" s="1">
        <f t="shared" si="48"/>
        <v>0</v>
      </c>
      <c r="F572">
        <f t="shared" si="49"/>
        <v>0</v>
      </c>
      <c r="G572">
        <f t="shared" si="50"/>
        <v>0</v>
      </c>
      <c r="I572">
        <f t="shared" si="51"/>
        <v>5.5555555555555556E-4</v>
      </c>
      <c r="J572">
        <f t="shared" si="52"/>
        <v>0</v>
      </c>
      <c r="K572">
        <f t="shared" si="53"/>
        <v>0</v>
      </c>
    </row>
    <row r="573" spans="1:11" x14ac:dyDescent="0.35">
      <c r="A573" s="2" t="s">
        <v>6</v>
      </c>
      <c r="B573" s="2">
        <v>570</v>
      </c>
      <c r="C573" s="2">
        <v>570</v>
      </c>
      <c r="D573" s="14">
        <v>0</v>
      </c>
      <c r="E573" s="1">
        <f t="shared" si="48"/>
        <v>0</v>
      </c>
      <c r="F573">
        <f t="shared" si="49"/>
        <v>0</v>
      </c>
      <c r="G573">
        <f t="shared" si="50"/>
        <v>0</v>
      </c>
      <c r="I573">
        <f t="shared" si="51"/>
        <v>5.5555555555555556E-4</v>
      </c>
      <c r="J573">
        <f t="shared" si="52"/>
        <v>0</v>
      </c>
      <c r="K573">
        <f t="shared" si="53"/>
        <v>0</v>
      </c>
    </row>
    <row r="574" spans="1:11" x14ac:dyDescent="0.35">
      <c r="A574" s="2" t="s">
        <v>6</v>
      </c>
      <c r="B574" s="2">
        <v>571</v>
      </c>
      <c r="C574" s="2">
        <v>571</v>
      </c>
      <c r="D574" s="14">
        <v>0</v>
      </c>
      <c r="E574" s="1">
        <f t="shared" si="48"/>
        <v>0</v>
      </c>
      <c r="F574">
        <f t="shared" si="49"/>
        <v>0</v>
      </c>
      <c r="G574">
        <f t="shared" si="50"/>
        <v>0</v>
      </c>
      <c r="I574">
        <f t="shared" si="51"/>
        <v>5.5555555555555556E-4</v>
      </c>
      <c r="J574">
        <f t="shared" si="52"/>
        <v>0</v>
      </c>
      <c r="K574">
        <f t="shared" si="53"/>
        <v>0</v>
      </c>
    </row>
    <row r="575" spans="1:11" x14ac:dyDescent="0.35">
      <c r="A575" s="2" t="s">
        <v>6</v>
      </c>
      <c r="B575" s="2">
        <v>572</v>
      </c>
      <c r="C575" s="2">
        <v>572</v>
      </c>
      <c r="D575" s="14">
        <v>0</v>
      </c>
      <c r="E575" s="1">
        <f t="shared" si="48"/>
        <v>0</v>
      </c>
      <c r="F575">
        <f t="shared" si="49"/>
        <v>0</v>
      </c>
      <c r="G575">
        <f t="shared" si="50"/>
        <v>0</v>
      </c>
      <c r="I575">
        <f t="shared" si="51"/>
        <v>5.5555555555555556E-4</v>
      </c>
      <c r="J575">
        <f t="shared" si="52"/>
        <v>0</v>
      </c>
      <c r="K575">
        <f t="shared" si="53"/>
        <v>0</v>
      </c>
    </row>
    <row r="576" spans="1:11" x14ac:dyDescent="0.35">
      <c r="A576" s="2" t="s">
        <v>6</v>
      </c>
      <c r="B576" s="2">
        <v>573</v>
      </c>
      <c r="C576" s="2">
        <v>573</v>
      </c>
      <c r="D576" s="14">
        <v>0</v>
      </c>
      <c r="E576" s="1">
        <f t="shared" si="48"/>
        <v>0</v>
      </c>
      <c r="F576">
        <f t="shared" si="49"/>
        <v>0</v>
      </c>
      <c r="G576">
        <f t="shared" si="50"/>
        <v>0</v>
      </c>
      <c r="I576">
        <f t="shared" si="51"/>
        <v>5.5555555555555556E-4</v>
      </c>
      <c r="J576">
        <f t="shared" si="52"/>
        <v>0</v>
      </c>
      <c r="K576">
        <f t="shared" si="53"/>
        <v>0</v>
      </c>
    </row>
    <row r="577" spans="1:11" x14ac:dyDescent="0.35">
      <c r="A577" s="2" t="s">
        <v>6</v>
      </c>
      <c r="B577" s="2">
        <v>574</v>
      </c>
      <c r="C577" s="2">
        <v>574</v>
      </c>
      <c r="D577" s="14">
        <v>0</v>
      </c>
      <c r="E577" s="1">
        <f t="shared" si="48"/>
        <v>0</v>
      </c>
      <c r="F577">
        <f t="shared" si="49"/>
        <v>0</v>
      </c>
      <c r="G577">
        <f t="shared" si="50"/>
        <v>0</v>
      </c>
      <c r="I577">
        <f t="shared" si="51"/>
        <v>5.5555555555555556E-4</v>
      </c>
      <c r="J577">
        <f t="shared" si="52"/>
        <v>0</v>
      </c>
      <c r="K577">
        <f t="shared" si="53"/>
        <v>0</v>
      </c>
    </row>
    <row r="578" spans="1:11" x14ac:dyDescent="0.35">
      <c r="A578" s="2" t="s">
        <v>6</v>
      </c>
      <c r="B578" s="2">
        <v>575</v>
      </c>
      <c r="C578" s="2">
        <v>575</v>
      </c>
      <c r="D578" s="14">
        <v>0</v>
      </c>
      <c r="E578" s="1">
        <f t="shared" si="48"/>
        <v>0</v>
      </c>
      <c r="F578">
        <f t="shared" si="49"/>
        <v>0</v>
      </c>
      <c r="G578">
        <f t="shared" si="50"/>
        <v>0</v>
      </c>
      <c r="I578">
        <f t="shared" si="51"/>
        <v>5.5555555555555556E-4</v>
      </c>
      <c r="J578">
        <f t="shared" si="52"/>
        <v>0</v>
      </c>
      <c r="K578">
        <f t="shared" si="53"/>
        <v>0</v>
      </c>
    </row>
    <row r="579" spans="1:11" x14ac:dyDescent="0.35">
      <c r="A579" s="2" t="s">
        <v>6</v>
      </c>
      <c r="B579" s="2">
        <v>576</v>
      </c>
      <c r="C579" s="2">
        <v>576</v>
      </c>
      <c r="D579" s="14">
        <v>0</v>
      </c>
      <c r="E579" s="1">
        <f t="shared" si="48"/>
        <v>0</v>
      </c>
      <c r="F579">
        <f t="shared" si="49"/>
        <v>0</v>
      </c>
      <c r="G579">
        <f t="shared" si="50"/>
        <v>0</v>
      </c>
      <c r="I579">
        <f t="shared" si="51"/>
        <v>5.5555555555555556E-4</v>
      </c>
      <c r="J579">
        <f t="shared" si="52"/>
        <v>0</v>
      </c>
      <c r="K579">
        <f t="shared" si="53"/>
        <v>0</v>
      </c>
    </row>
    <row r="580" spans="1:11" x14ac:dyDescent="0.35">
      <c r="A580" s="2" t="s">
        <v>6</v>
      </c>
      <c r="B580" s="2">
        <v>577</v>
      </c>
      <c r="C580" s="2">
        <v>577</v>
      </c>
      <c r="D580" s="14">
        <v>0</v>
      </c>
      <c r="E580" s="1">
        <f t="shared" si="48"/>
        <v>0</v>
      </c>
      <c r="F580">
        <f t="shared" si="49"/>
        <v>0</v>
      </c>
      <c r="G580">
        <f t="shared" si="50"/>
        <v>0</v>
      </c>
      <c r="I580">
        <f t="shared" si="51"/>
        <v>5.5555555555555556E-4</v>
      </c>
      <c r="J580">
        <f t="shared" si="52"/>
        <v>0</v>
      </c>
      <c r="K580">
        <f t="shared" si="53"/>
        <v>0</v>
      </c>
    </row>
    <row r="581" spans="1:11" x14ac:dyDescent="0.35">
      <c r="A581" s="2" t="s">
        <v>6</v>
      </c>
      <c r="B581" s="2">
        <v>578</v>
      </c>
      <c r="C581" s="2">
        <v>578</v>
      </c>
      <c r="D581" s="14">
        <v>0</v>
      </c>
      <c r="E581" s="1">
        <f t="shared" ref="E581:E644" si="54">($D582-$D580)/2/3.6</f>
        <v>0</v>
      </c>
      <c r="F581">
        <f t="shared" ref="F581:F644" si="55">IF(D581=0,0,MAX(0,0.285*(1600*E581 + 1600*9.81*0.015 + 0.5*1.225*0.32*2.2*(D581/3.6)^2)))</f>
        <v>0</v>
      </c>
      <c r="G581">
        <f t="shared" ref="G581:G644" si="56">60*D581/(2*PI()*3.6*0.285)</f>
        <v>0</v>
      </c>
      <c r="I581">
        <f t="shared" ref="I581:I644" si="57">1/1800</f>
        <v>5.5555555555555556E-4</v>
      </c>
      <c r="J581">
        <f t="shared" ref="J581:J644" si="58">F581/(M$3*3.6)</f>
        <v>0</v>
      </c>
      <c r="K581">
        <f t="shared" ref="K581:K644" si="59">G581*3.6/N$3</f>
        <v>0</v>
      </c>
    </row>
    <row r="582" spans="1:11" x14ac:dyDescent="0.35">
      <c r="A582" s="2" t="s">
        <v>6</v>
      </c>
      <c r="B582" s="2">
        <v>579</v>
      </c>
      <c r="C582" s="2">
        <v>579</v>
      </c>
      <c r="D582" s="14">
        <v>0</v>
      </c>
      <c r="E582" s="1">
        <f t="shared" si="54"/>
        <v>0</v>
      </c>
      <c r="F582">
        <f t="shared" si="55"/>
        <v>0</v>
      </c>
      <c r="G582">
        <f t="shared" si="56"/>
        <v>0</v>
      </c>
      <c r="I582">
        <f t="shared" si="57"/>
        <v>5.5555555555555556E-4</v>
      </c>
      <c r="J582">
        <f t="shared" si="58"/>
        <v>0</v>
      </c>
      <c r="K582">
        <f t="shared" si="59"/>
        <v>0</v>
      </c>
    </row>
    <row r="583" spans="1:11" x14ac:dyDescent="0.35">
      <c r="A583" s="2" t="s">
        <v>6</v>
      </c>
      <c r="B583" s="2">
        <v>580</v>
      </c>
      <c r="C583" s="2">
        <v>580</v>
      </c>
      <c r="D583" s="14">
        <v>0</v>
      </c>
      <c r="E583" s="1">
        <f t="shared" si="54"/>
        <v>0</v>
      </c>
      <c r="F583">
        <f t="shared" si="55"/>
        <v>0</v>
      </c>
      <c r="G583">
        <f t="shared" si="56"/>
        <v>0</v>
      </c>
      <c r="I583">
        <f t="shared" si="57"/>
        <v>5.5555555555555556E-4</v>
      </c>
      <c r="J583">
        <f t="shared" si="58"/>
        <v>0</v>
      </c>
      <c r="K583">
        <f t="shared" si="59"/>
        <v>0</v>
      </c>
    </row>
    <row r="584" spans="1:11" x14ac:dyDescent="0.35">
      <c r="A584" s="2" t="s">
        <v>6</v>
      </c>
      <c r="B584" s="2">
        <v>581</v>
      </c>
      <c r="C584" s="2">
        <v>581</v>
      </c>
      <c r="D584" s="14">
        <v>0</v>
      </c>
      <c r="E584" s="1">
        <f t="shared" si="54"/>
        <v>0</v>
      </c>
      <c r="F584">
        <f t="shared" si="55"/>
        <v>0</v>
      </c>
      <c r="G584">
        <f t="shared" si="56"/>
        <v>0</v>
      </c>
      <c r="I584">
        <f t="shared" si="57"/>
        <v>5.5555555555555556E-4</v>
      </c>
      <c r="J584">
        <f t="shared" si="58"/>
        <v>0</v>
      </c>
      <c r="K584">
        <f t="shared" si="59"/>
        <v>0</v>
      </c>
    </row>
    <row r="585" spans="1:11" x14ac:dyDescent="0.35">
      <c r="A585" s="2" t="s">
        <v>6</v>
      </c>
      <c r="B585" s="2">
        <v>582</v>
      </c>
      <c r="C585" s="2">
        <v>582</v>
      </c>
      <c r="D585" s="14">
        <v>0</v>
      </c>
      <c r="E585" s="1">
        <f t="shared" si="54"/>
        <v>0</v>
      </c>
      <c r="F585">
        <f t="shared" si="55"/>
        <v>0</v>
      </c>
      <c r="G585">
        <f t="shared" si="56"/>
        <v>0</v>
      </c>
      <c r="I585">
        <f t="shared" si="57"/>
        <v>5.5555555555555556E-4</v>
      </c>
      <c r="J585">
        <f t="shared" si="58"/>
        <v>0</v>
      </c>
      <c r="K585">
        <f t="shared" si="59"/>
        <v>0</v>
      </c>
    </row>
    <row r="586" spans="1:11" x14ac:dyDescent="0.35">
      <c r="A586" s="2" t="s">
        <v>6</v>
      </c>
      <c r="B586" s="2">
        <v>583</v>
      </c>
      <c r="C586" s="2">
        <v>583</v>
      </c>
      <c r="D586" s="14">
        <v>0</v>
      </c>
      <c r="E586" s="1">
        <f t="shared" si="54"/>
        <v>0</v>
      </c>
      <c r="F586">
        <f t="shared" si="55"/>
        <v>0</v>
      </c>
      <c r="G586">
        <f t="shared" si="56"/>
        <v>0</v>
      </c>
      <c r="I586">
        <f t="shared" si="57"/>
        <v>5.5555555555555556E-4</v>
      </c>
      <c r="J586">
        <f t="shared" si="58"/>
        <v>0</v>
      </c>
      <c r="K586">
        <f t="shared" si="59"/>
        <v>0</v>
      </c>
    </row>
    <row r="587" spans="1:11" x14ac:dyDescent="0.35">
      <c r="A587" s="2" t="s">
        <v>6</v>
      </c>
      <c r="B587" s="2">
        <v>584</v>
      </c>
      <c r="C587" s="2">
        <v>584</v>
      </c>
      <c r="D587" s="14">
        <v>0</v>
      </c>
      <c r="E587" s="1">
        <f t="shared" si="54"/>
        <v>0</v>
      </c>
      <c r="F587">
        <f t="shared" si="55"/>
        <v>0</v>
      </c>
      <c r="G587">
        <f t="shared" si="56"/>
        <v>0</v>
      </c>
      <c r="I587">
        <f t="shared" si="57"/>
        <v>5.5555555555555556E-4</v>
      </c>
      <c r="J587">
        <f t="shared" si="58"/>
        <v>0</v>
      </c>
      <c r="K587">
        <f t="shared" si="59"/>
        <v>0</v>
      </c>
    </row>
    <row r="588" spans="1:11" x14ac:dyDescent="0.35">
      <c r="A588" s="2" t="s">
        <v>6</v>
      </c>
      <c r="B588" s="2">
        <v>585</v>
      </c>
      <c r="C588" s="2">
        <v>585</v>
      </c>
      <c r="D588" s="14">
        <v>0</v>
      </c>
      <c r="E588" s="1">
        <f t="shared" si="54"/>
        <v>0</v>
      </c>
      <c r="F588">
        <f t="shared" si="55"/>
        <v>0</v>
      </c>
      <c r="G588">
        <f t="shared" si="56"/>
        <v>0</v>
      </c>
      <c r="I588">
        <f t="shared" si="57"/>
        <v>5.5555555555555556E-4</v>
      </c>
      <c r="J588">
        <f t="shared" si="58"/>
        <v>0</v>
      </c>
      <c r="K588">
        <f t="shared" si="59"/>
        <v>0</v>
      </c>
    </row>
    <row r="589" spans="1:11" x14ac:dyDescent="0.35">
      <c r="A589" s="2" t="s">
        <v>6</v>
      </c>
      <c r="B589" s="2">
        <v>586</v>
      </c>
      <c r="C589" s="2">
        <v>586</v>
      </c>
      <c r="D589" s="14">
        <v>0</v>
      </c>
      <c r="E589" s="1">
        <f t="shared" si="54"/>
        <v>0</v>
      </c>
      <c r="F589">
        <f t="shared" si="55"/>
        <v>0</v>
      </c>
      <c r="G589">
        <f t="shared" si="56"/>
        <v>0</v>
      </c>
      <c r="I589">
        <f t="shared" si="57"/>
        <v>5.5555555555555556E-4</v>
      </c>
      <c r="J589">
        <f t="shared" si="58"/>
        <v>0</v>
      </c>
      <c r="K589">
        <f t="shared" si="59"/>
        <v>0</v>
      </c>
    </row>
    <row r="590" spans="1:11" x14ac:dyDescent="0.35">
      <c r="A590" s="2" t="s">
        <v>6</v>
      </c>
      <c r="B590" s="2">
        <v>587</v>
      </c>
      <c r="C590" s="2">
        <v>587</v>
      </c>
      <c r="D590" s="14">
        <v>0</v>
      </c>
      <c r="E590" s="1">
        <f t="shared" si="54"/>
        <v>0</v>
      </c>
      <c r="F590">
        <f t="shared" si="55"/>
        <v>0</v>
      </c>
      <c r="G590">
        <f t="shared" si="56"/>
        <v>0</v>
      </c>
      <c r="I590">
        <f t="shared" si="57"/>
        <v>5.5555555555555556E-4</v>
      </c>
      <c r="J590">
        <f t="shared" si="58"/>
        <v>0</v>
      </c>
      <c r="K590">
        <f t="shared" si="59"/>
        <v>0</v>
      </c>
    </row>
    <row r="591" spans="1:11" x14ac:dyDescent="0.35">
      <c r="A591" s="2" t="s">
        <v>6</v>
      </c>
      <c r="B591" s="2">
        <v>588</v>
      </c>
      <c r="C591" s="2">
        <v>588</v>
      </c>
      <c r="D591" s="14">
        <v>0</v>
      </c>
      <c r="E591" s="1">
        <f t="shared" si="54"/>
        <v>0</v>
      </c>
      <c r="F591">
        <f t="shared" si="55"/>
        <v>0</v>
      </c>
      <c r="G591">
        <f t="shared" si="56"/>
        <v>0</v>
      </c>
      <c r="I591">
        <f t="shared" si="57"/>
        <v>5.5555555555555556E-4</v>
      </c>
      <c r="J591">
        <f t="shared" si="58"/>
        <v>0</v>
      </c>
      <c r="K591">
        <f t="shared" si="59"/>
        <v>0</v>
      </c>
    </row>
    <row r="592" spans="1:11" x14ac:dyDescent="0.35">
      <c r="A592" s="2" t="s">
        <v>6</v>
      </c>
      <c r="B592" s="2">
        <v>589</v>
      </c>
      <c r="C592" s="2">
        <v>589</v>
      </c>
      <c r="D592" s="14">
        <v>0</v>
      </c>
      <c r="E592" s="1">
        <f t="shared" si="54"/>
        <v>0</v>
      </c>
      <c r="F592">
        <f t="shared" si="55"/>
        <v>0</v>
      </c>
      <c r="G592">
        <f t="shared" si="56"/>
        <v>0</v>
      </c>
      <c r="I592">
        <f t="shared" si="57"/>
        <v>5.5555555555555556E-4</v>
      </c>
      <c r="J592">
        <f t="shared" si="58"/>
        <v>0</v>
      </c>
      <c r="K592">
        <f t="shared" si="59"/>
        <v>0</v>
      </c>
    </row>
    <row r="593" spans="1:11" x14ac:dyDescent="0.35">
      <c r="A593" s="3" t="s">
        <v>7</v>
      </c>
      <c r="B593" s="3">
        <v>590</v>
      </c>
      <c r="C593" s="3">
        <v>1</v>
      </c>
      <c r="D593" s="15">
        <v>0</v>
      </c>
      <c r="E593" s="1">
        <f t="shared" si="54"/>
        <v>0</v>
      </c>
      <c r="F593">
        <f t="shared" si="55"/>
        <v>0</v>
      </c>
      <c r="G593">
        <f t="shared" si="56"/>
        <v>0</v>
      </c>
      <c r="I593">
        <f t="shared" si="57"/>
        <v>5.5555555555555556E-4</v>
      </c>
      <c r="J593">
        <f t="shared" si="58"/>
        <v>0</v>
      </c>
      <c r="K593">
        <f t="shared" si="59"/>
        <v>0</v>
      </c>
    </row>
    <row r="594" spans="1:11" x14ac:dyDescent="0.35">
      <c r="A594" s="3" t="s">
        <v>7</v>
      </c>
      <c r="B594" s="3">
        <v>591</v>
      </c>
      <c r="C594" s="3">
        <v>2</v>
      </c>
      <c r="D594" s="15">
        <v>0</v>
      </c>
      <c r="E594" s="1">
        <f t="shared" si="54"/>
        <v>0</v>
      </c>
      <c r="F594">
        <f t="shared" si="55"/>
        <v>0</v>
      </c>
      <c r="G594">
        <f t="shared" si="56"/>
        <v>0</v>
      </c>
      <c r="I594">
        <f t="shared" si="57"/>
        <v>5.5555555555555556E-4</v>
      </c>
      <c r="J594">
        <f t="shared" si="58"/>
        <v>0</v>
      </c>
      <c r="K594">
        <f t="shared" si="59"/>
        <v>0</v>
      </c>
    </row>
    <row r="595" spans="1:11" x14ac:dyDescent="0.35">
      <c r="A595" s="3" t="s">
        <v>7</v>
      </c>
      <c r="B595" s="3">
        <v>592</v>
      </c>
      <c r="C595" s="3">
        <v>3</v>
      </c>
      <c r="D595" s="15">
        <v>0</v>
      </c>
      <c r="E595" s="1">
        <f t="shared" si="54"/>
        <v>0</v>
      </c>
      <c r="F595">
        <f t="shared" si="55"/>
        <v>0</v>
      </c>
      <c r="G595">
        <f t="shared" si="56"/>
        <v>0</v>
      </c>
      <c r="I595">
        <f t="shared" si="57"/>
        <v>5.5555555555555556E-4</v>
      </c>
      <c r="J595">
        <f t="shared" si="58"/>
        <v>0</v>
      </c>
      <c r="K595">
        <f t="shared" si="59"/>
        <v>0</v>
      </c>
    </row>
    <row r="596" spans="1:11" x14ac:dyDescent="0.35">
      <c r="A596" s="3" t="s">
        <v>7</v>
      </c>
      <c r="B596" s="3">
        <v>593</v>
      </c>
      <c r="C596" s="3">
        <v>4</v>
      </c>
      <c r="D596" s="15">
        <v>0</v>
      </c>
      <c r="E596" s="1">
        <f t="shared" si="54"/>
        <v>0</v>
      </c>
      <c r="F596">
        <f t="shared" si="55"/>
        <v>0</v>
      </c>
      <c r="G596">
        <f t="shared" si="56"/>
        <v>0</v>
      </c>
      <c r="I596">
        <f t="shared" si="57"/>
        <v>5.5555555555555556E-4</v>
      </c>
      <c r="J596">
        <f t="shared" si="58"/>
        <v>0</v>
      </c>
      <c r="K596">
        <f t="shared" si="59"/>
        <v>0</v>
      </c>
    </row>
    <row r="597" spans="1:11" x14ac:dyDescent="0.35">
      <c r="A597" s="3" t="s">
        <v>7</v>
      </c>
      <c r="B597" s="3">
        <v>594</v>
      </c>
      <c r="C597" s="3">
        <v>5</v>
      </c>
      <c r="D597" s="15">
        <v>0</v>
      </c>
      <c r="E597" s="1">
        <f t="shared" si="54"/>
        <v>0</v>
      </c>
      <c r="F597">
        <f t="shared" si="55"/>
        <v>0</v>
      </c>
      <c r="G597">
        <f t="shared" si="56"/>
        <v>0</v>
      </c>
      <c r="I597">
        <f t="shared" si="57"/>
        <v>5.5555555555555556E-4</v>
      </c>
      <c r="J597">
        <f t="shared" si="58"/>
        <v>0</v>
      </c>
      <c r="K597">
        <f t="shared" si="59"/>
        <v>0</v>
      </c>
    </row>
    <row r="598" spans="1:11" x14ac:dyDescent="0.35">
      <c r="A598" s="3" t="s">
        <v>7</v>
      </c>
      <c r="B598" s="3">
        <v>595</v>
      </c>
      <c r="C598" s="3">
        <v>6</v>
      </c>
      <c r="D598" s="15">
        <v>0</v>
      </c>
      <c r="E598" s="1">
        <f t="shared" si="54"/>
        <v>0</v>
      </c>
      <c r="F598">
        <f t="shared" si="55"/>
        <v>0</v>
      </c>
      <c r="G598">
        <f t="shared" si="56"/>
        <v>0</v>
      </c>
      <c r="I598">
        <f t="shared" si="57"/>
        <v>5.5555555555555556E-4</v>
      </c>
      <c r="J598">
        <f t="shared" si="58"/>
        <v>0</v>
      </c>
      <c r="K598">
        <f t="shared" si="59"/>
        <v>0</v>
      </c>
    </row>
    <row r="599" spans="1:11" x14ac:dyDescent="0.35">
      <c r="A599" s="3" t="s">
        <v>7</v>
      </c>
      <c r="B599" s="3">
        <v>596</v>
      </c>
      <c r="C599" s="3">
        <v>7</v>
      </c>
      <c r="D599" s="15">
        <v>0</v>
      </c>
      <c r="E599" s="1">
        <f t="shared" si="54"/>
        <v>0</v>
      </c>
      <c r="F599">
        <f t="shared" si="55"/>
        <v>0</v>
      </c>
      <c r="G599">
        <f t="shared" si="56"/>
        <v>0</v>
      </c>
      <c r="I599">
        <f t="shared" si="57"/>
        <v>5.5555555555555556E-4</v>
      </c>
      <c r="J599">
        <f t="shared" si="58"/>
        <v>0</v>
      </c>
      <c r="K599">
        <f t="shared" si="59"/>
        <v>0</v>
      </c>
    </row>
    <row r="600" spans="1:11" x14ac:dyDescent="0.35">
      <c r="A600" s="3" t="s">
        <v>7</v>
      </c>
      <c r="B600" s="3">
        <v>597</v>
      </c>
      <c r="C600" s="3">
        <v>8</v>
      </c>
      <c r="D600" s="15">
        <v>0</v>
      </c>
      <c r="E600" s="1">
        <f t="shared" si="54"/>
        <v>0</v>
      </c>
      <c r="F600">
        <f t="shared" si="55"/>
        <v>0</v>
      </c>
      <c r="G600">
        <f t="shared" si="56"/>
        <v>0</v>
      </c>
      <c r="I600">
        <f t="shared" si="57"/>
        <v>5.5555555555555556E-4</v>
      </c>
      <c r="J600">
        <f t="shared" si="58"/>
        <v>0</v>
      </c>
      <c r="K600">
        <f t="shared" si="59"/>
        <v>0</v>
      </c>
    </row>
    <row r="601" spans="1:11" x14ac:dyDescent="0.35">
      <c r="A601" s="3" t="s">
        <v>7</v>
      </c>
      <c r="B601" s="3">
        <v>598</v>
      </c>
      <c r="C601" s="3">
        <v>9</v>
      </c>
      <c r="D601" s="15">
        <v>0</v>
      </c>
      <c r="E601" s="1">
        <f t="shared" si="54"/>
        <v>0</v>
      </c>
      <c r="F601">
        <f t="shared" si="55"/>
        <v>0</v>
      </c>
      <c r="G601">
        <f t="shared" si="56"/>
        <v>0</v>
      </c>
      <c r="I601">
        <f t="shared" si="57"/>
        <v>5.5555555555555556E-4</v>
      </c>
      <c r="J601">
        <f t="shared" si="58"/>
        <v>0</v>
      </c>
      <c r="K601">
        <f t="shared" si="59"/>
        <v>0</v>
      </c>
    </row>
    <row r="602" spans="1:11" x14ac:dyDescent="0.35">
      <c r="A602" s="3" t="s">
        <v>7</v>
      </c>
      <c r="B602" s="3">
        <v>599</v>
      </c>
      <c r="C602" s="3">
        <v>10</v>
      </c>
      <c r="D602" s="15">
        <v>0</v>
      </c>
      <c r="E602" s="1">
        <f t="shared" si="54"/>
        <v>0</v>
      </c>
      <c r="F602">
        <f t="shared" si="55"/>
        <v>0</v>
      </c>
      <c r="G602">
        <f t="shared" si="56"/>
        <v>0</v>
      </c>
      <c r="I602">
        <f t="shared" si="57"/>
        <v>5.5555555555555556E-4</v>
      </c>
      <c r="J602">
        <f t="shared" si="58"/>
        <v>0</v>
      </c>
      <c r="K602">
        <f t="shared" si="59"/>
        <v>0</v>
      </c>
    </row>
    <row r="603" spans="1:11" x14ac:dyDescent="0.35">
      <c r="A603" s="3" t="s">
        <v>7</v>
      </c>
      <c r="B603" s="3">
        <v>600</v>
      </c>
      <c r="C603" s="3">
        <v>11</v>
      </c>
      <c r="D603" s="15">
        <v>0</v>
      </c>
      <c r="E603" s="1">
        <f t="shared" si="54"/>
        <v>0.1388888888888889</v>
      </c>
      <c r="F603">
        <f t="shared" si="55"/>
        <v>0</v>
      </c>
      <c r="G603">
        <f t="shared" si="56"/>
        <v>0</v>
      </c>
      <c r="I603">
        <f t="shared" si="57"/>
        <v>5.5555555555555556E-4</v>
      </c>
      <c r="J603">
        <f t="shared" si="58"/>
        <v>0</v>
      </c>
      <c r="K603">
        <f t="shared" si="59"/>
        <v>0</v>
      </c>
    </row>
    <row r="604" spans="1:11" x14ac:dyDescent="0.35">
      <c r="A604" s="3" t="s">
        <v>7</v>
      </c>
      <c r="B604" s="3">
        <v>601</v>
      </c>
      <c r="C604" s="3">
        <v>12</v>
      </c>
      <c r="D604" s="15">
        <v>1</v>
      </c>
      <c r="E604" s="1">
        <f t="shared" si="54"/>
        <v>0.29166666666666669</v>
      </c>
      <c r="F604">
        <f t="shared" si="55"/>
        <v>200.10988240740738</v>
      </c>
      <c r="G604">
        <f t="shared" si="56"/>
        <v>9.3073066135611313</v>
      </c>
      <c r="I604">
        <f t="shared" si="57"/>
        <v>5.5555555555555556E-4</v>
      </c>
      <c r="J604">
        <f t="shared" si="58"/>
        <v>0.27793039223251026</v>
      </c>
      <c r="K604">
        <f t="shared" si="59"/>
        <v>2.2337535872546714E-2</v>
      </c>
    </row>
    <row r="605" spans="1:11" x14ac:dyDescent="0.35">
      <c r="A605" s="3" t="s">
        <v>7</v>
      </c>
      <c r="B605" s="3">
        <v>602</v>
      </c>
      <c r="C605" s="3">
        <v>13</v>
      </c>
      <c r="D605" s="15">
        <v>2.1</v>
      </c>
      <c r="E605" s="1">
        <f t="shared" si="54"/>
        <v>0.52777777777777779</v>
      </c>
      <c r="F605">
        <f t="shared" si="55"/>
        <v>307.80888408333334</v>
      </c>
      <c r="G605">
        <f t="shared" si="56"/>
        <v>19.545343888478378</v>
      </c>
      <c r="I605">
        <f t="shared" si="57"/>
        <v>5.5555555555555556E-4</v>
      </c>
      <c r="J605">
        <f t="shared" si="58"/>
        <v>0.42751233900462965</v>
      </c>
      <c r="K605">
        <f t="shared" si="59"/>
        <v>4.6908825332348109E-2</v>
      </c>
    </row>
    <row r="606" spans="1:11" x14ac:dyDescent="0.35">
      <c r="A606" s="3" t="s">
        <v>7</v>
      </c>
      <c r="B606" s="3">
        <v>603</v>
      </c>
      <c r="C606" s="3">
        <v>14</v>
      </c>
      <c r="D606" s="15">
        <v>4.8</v>
      </c>
      <c r="E606" s="1">
        <f t="shared" si="54"/>
        <v>0.97222222222222221</v>
      </c>
      <c r="F606">
        <f t="shared" si="55"/>
        <v>510.65220799999992</v>
      </c>
      <c r="G606">
        <f t="shared" si="56"/>
        <v>44.675071745093433</v>
      </c>
      <c r="I606">
        <f t="shared" si="57"/>
        <v>5.5555555555555556E-4</v>
      </c>
      <c r="J606">
        <f t="shared" si="58"/>
        <v>0.70923917777777767</v>
      </c>
      <c r="K606">
        <f t="shared" si="59"/>
        <v>0.10722017218822424</v>
      </c>
    </row>
    <row r="607" spans="1:11" x14ac:dyDescent="0.35">
      <c r="A607" s="3" t="s">
        <v>7</v>
      </c>
      <c r="B607" s="3">
        <v>604</v>
      </c>
      <c r="C607" s="3">
        <v>15</v>
      </c>
      <c r="D607" s="15">
        <v>9.1</v>
      </c>
      <c r="E607" s="1">
        <f t="shared" si="54"/>
        <v>1.3055555555555554</v>
      </c>
      <c r="F607">
        <f t="shared" si="55"/>
        <v>663.21897149074073</v>
      </c>
      <c r="G607">
        <f t="shared" si="56"/>
        <v>84.696490183406297</v>
      </c>
      <c r="I607">
        <f t="shared" si="57"/>
        <v>5.5555555555555556E-4</v>
      </c>
      <c r="J607">
        <f t="shared" si="58"/>
        <v>0.92113746040380662</v>
      </c>
      <c r="K607">
        <f t="shared" si="59"/>
        <v>0.2032715764401751</v>
      </c>
    </row>
    <row r="608" spans="1:11" x14ac:dyDescent="0.35">
      <c r="A608" s="3" t="s">
        <v>7</v>
      </c>
      <c r="B608" s="3">
        <v>605</v>
      </c>
      <c r="C608" s="3">
        <v>16</v>
      </c>
      <c r="D608" s="15">
        <v>14.2</v>
      </c>
      <c r="E608" s="1">
        <f t="shared" si="54"/>
        <v>1.4861111111111112</v>
      </c>
      <c r="F608">
        <f t="shared" si="55"/>
        <v>746.67909929629627</v>
      </c>
      <c r="G608">
        <f t="shared" si="56"/>
        <v>132.16375391256807</v>
      </c>
      <c r="I608">
        <f t="shared" si="57"/>
        <v>5.5555555555555556E-4</v>
      </c>
      <c r="J608">
        <f t="shared" si="58"/>
        <v>1.0370543045781893</v>
      </c>
      <c r="K608">
        <f t="shared" si="59"/>
        <v>0.31719300939016337</v>
      </c>
    </row>
    <row r="609" spans="1:11" x14ac:dyDescent="0.35">
      <c r="A609" s="3" t="s">
        <v>7</v>
      </c>
      <c r="B609" s="3">
        <v>606</v>
      </c>
      <c r="C609" s="3">
        <v>17</v>
      </c>
      <c r="D609" s="15">
        <v>19.8</v>
      </c>
      <c r="E609" s="1">
        <f t="shared" si="54"/>
        <v>1.5694444444444444</v>
      </c>
      <c r="F609">
        <f t="shared" si="55"/>
        <v>786.48454966666657</v>
      </c>
      <c r="G609">
        <f t="shared" si="56"/>
        <v>184.28467094851041</v>
      </c>
      <c r="I609">
        <f t="shared" si="57"/>
        <v>5.5555555555555556E-4</v>
      </c>
      <c r="J609">
        <f t="shared" si="58"/>
        <v>1.0923396523148148</v>
      </c>
      <c r="K609">
        <f t="shared" si="59"/>
        <v>0.44228321027642498</v>
      </c>
    </row>
    <row r="610" spans="1:11" x14ac:dyDescent="0.35">
      <c r="A610" s="3" t="s">
        <v>7</v>
      </c>
      <c r="B610" s="3">
        <v>607</v>
      </c>
      <c r="C610" s="3">
        <v>18</v>
      </c>
      <c r="D610" s="15">
        <v>25.5</v>
      </c>
      <c r="E610" s="1">
        <f t="shared" si="54"/>
        <v>1.4861111111111109</v>
      </c>
      <c r="F610">
        <f t="shared" si="55"/>
        <v>750.93300208333324</v>
      </c>
      <c r="G610">
        <f t="shared" si="56"/>
        <v>237.33631864580886</v>
      </c>
      <c r="I610">
        <f t="shared" si="57"/>
        <v>5.5555555555555556E-4</v>
      </c>
      <c r="J610">
        <f t="shared" si="58"/>
        <v>1.0429625028935183</v>
      </c>
      <c r="K610">
        <f t="shared" si="59"/>
        <v>0.56960716474994133</v>
      </c>
    </row>
    <row r="611" spans="1:11" x14ac:dyDescent="0.35">
      <c r="A611" s="3" t="s">
        <v>7</v>
      </c>
      <c r="B611" s="3">
        <v>608</v>
      </c>
      <c r="C611" s="3">
        <v>19</v>
      </c>
      <c r="D611" s="15">
        <v>30.5</v>
      </c>
      <c r="E611" s="1">
        <f t="shared" si="54"/>
        <v>1.2916666666666663</v>
      </c>
      <c r="F611">
        <f t="shared" si="55"/>
        <v>664.92140949074053</v>
      </c>
      <c r="G611">
        <f t="shared" si="56"/>
        <v>283.87285171361452</v>
      </c>
      <c r="I611">
        <f t="shared" si="57"/>
        <v>5.5555555555555556E-4</v>
      </c>
      <c r="J611">
        <f t="shared" si="58"/>
        <v>0.92350195762602849</v>
      </c>
      <c r="K611">
        <f t="shared" si="59"/>
        <v>0.68129484411267494</v>
      </c>
    </row>
    <row r="612" spans="1:11" x14ac:dyDescent="0.35">
      <c r="A612" s="3" t="s">
        <v>7</v>
      </c>
      <c r="B612" s="3">
        <v>609</v>
      </c>
      <c r="C612" s="3">
        <v>20</v>
      </c>
      <c r="D612" s="15">
        <v>34.799999999999997</v>
      </c>
      <c r="E612" s="1">
        <f t="shared" si="54"/>
        <v>1.1527777777777775</v>
      </c>
      <c r="F612">
        <f t="shared" si="55"/>
        <v>604.25064133333319</v>
      </c>
      <c r="G612">
        <f t="shared" si="56"/>
        <v>323.8942701519274</v>
      </c>
      <c r="I612">
        <f t="shared" si="57"/>
        <v>5.5555555555555556E-4</v>
      </c>
      <c r="J612">
        <f t="shared" si="58"/>
        <v>0.83923700185185168</v>
      </c>
      <c r="K612">
        <f t="shared" si="59"/>
        <v>0.77734624836462585</v>
      </c>
    </row>
    <row r="613" spans="1:11" x14ac:dyDescent="0.35">
      <c r="A613" s="3" t="s">
        <v>7</v>
      </c>
      <c r="B613" s="3">
        <v>610</v>
      </c>
      <c r="C613" s="3">
        <v>21</v>
      </c>
      <c r="D613" s="15">
        <v>38.799999999999997</v>
      </c>
      <c r="E613" s="1">
        <f t="shared" si="54"/>
        <v>1.1250000000000002</v>
      </c>
      <c r="F613">
        <f t="shared" si="55"/>
        <v>594.37559540740756</v>
      </c>
      <c r="G613">
        <f t="shared" si="56"/>
        <v>361.1234966061719</v>
      </c>
      <c r="I613">
        <f t="shared" si="57"/>
        <v>5.5555555555555556E-4</v>
      </c>
      <c r="J613">
        <f t="shared" si="58"/>
        <v>0.82552166028806606</v>
      </c>
      <c r="K613">
        <f t="shared" si="59"/>
        <v>0.86669639185481262</v>
      </c>
    </row>
    <row r="614" spans="1:11" x14ac:dyDescent="0.35">
      <c r="A614" s="3" t="s">
        <v>7</v>
      </c>
      <c r="B614" s="3">
        <v>611</v>
      </c>
      <c r="C614" s="3">
        <v>22</v>
      </c>
      <c r="D614" s="15">
        <v>42.9</v>
      </c>
      <c r="E614" s="1">
        <f t="shared" si="54"/>
        <v>1.0555555555555558</v>
      </c>
      <c r="F614">
        <f t="shared" si="55"/>
        <v>565.88525075000007</v>
      </c>
      <c r="G614">
        <f t="shared" si="56"/>
        <v>399.28345372177256</v>
      </c>
      <c r="I614">
        <f t="shared" si="57"/>
        <v>5.5555555555555556E-4</v>
      </c>
      <c r="J614">
        <f t="shared" si="58"/>
        <v>0.78595173715277789</v>
      </c>
      <c r="K614">
        <f t="shared" si="59"/>
        <v>0.95828028893225414</v>
      </c>
    </row>
    <row r="615" spans="1:11" x14ac:dyDescent="0.35">
      <c r="A615" s="3" t="s">
        <v>7</v>
      </c>
      <c r="B615" s="3">
        <v>612</v>
      </c>
      <c r="C615" s="3">
        <v>23</v>
      </c>
      <c r="D615" s="15">
        <v>46.4</v>
      </c>
      <c r="E615" s="1">
        <f t="shared" si="54"/>
        <v>0.74999999999999978</v>
      </c>
      <c r="F615">
        <f t="shared" si="55"/>
        <v>429.51564385185173</v>
      </c>
      <c r="G615">
        <f t="shared" si="56"/>
        <v>431.85902686923652</v>
      </c>
      <c r="I615">
        <f t="shared" si="57"/>
        <v>5.5555555555555556E-4</v>
      </c>
      <c r="J615">
        <f t="shared" si="58"/>
        <v>0.59654950534979412</v>
      </c>
      <c r="K615">
        <f t="shared" si="59"/>
        <v>1.0364616644861675</v>
      </c>
    </row>
    <row r="616" spans="1:11" x14ac:dyDescent="0.35">
      <c r="A616" s="3" t="s">
        <v>7</v>
      </c>
      <c r="B616" s="3">
        <v>613</v>
      </c>
      <c r="C616" s="3">
        <v>24</v>
      </c>
      <c r="D616" s="15">
        <v>48.3</v>
      </c>
      <c r="E616" s="1">
        <f t="shared" si="54"/>
        <v>0.31944444444444503</v>
      </c>
      <c r="F616">
        <f t="shared" si="55"/>
        <v>234.88848008333358</v>
      </c>
      <c r="G616">
        <f t="shared" si="56"/>
        <v>449.54290943500268</v>
      </c>
      <c r="I616">
        <f t="shared" si="57"/>
        <v>5.5555555555555556E-4</v>
      </c>
      <c r="J616">
        <f t="shared" si="58"/>
        <v>0.32623400011574105</v>
      </c>
      <c r="K616">
        <f t="shared" si="59"/>
        <v>1.0789029826440064</v>
      </c>
    </row>
    <row r="617" spans="1:11" x14ac:dyDescent="0.35">
      <c r="A617" s="3" t="s">
        <v>7</v>
      </c>
      <c r="B617" s="3">
        <v>614</v>
      </c>
      <c r="C617" s="3">
        <v>25</v>
      </c>
      <c r="D617" s="15">
        <v>48.7</v>
      </c>
      <c r="E617" s="1">
        <f t="shared" si="54"/>
        <v>2.7777777777778172E-2</v>
      </c>
      <c r="F617">
        <f t="shared" si="55"/>
        <v>102.25639749074092</v>
      </c>
      <c r="G617">
        <f t="shared" si="56"/>
        <v>453.26583208042712</v>
      </c>
      <c r="I617">
        <f t="shared" si="57"/>
        <v>5.5555555555555556E-4</v>
      </c>
      <c r="J617">
        <f t="shared" si="58"/>
        <v>0.14202277429269572</v>
      </c>
      <c r="K617">
        <f t="shared" si="59"/>
        <v>1.0878379969930252</v>
      </c>
    </row>
    <row r="618" spans="1:11" x14ac:dyDescent="0.35">
      <c r="A618" s="3" t="s">
        <v>7</v>
      </c>
      <c r="B618" s="3">
        <v>615</v>
      </c>
      <c r="C618" s="3">
        <v>26</v>
      </c>
      <c r="D618" s="15">
        <v>48.5</v>
      </c>
      <c r="E618" s="1">
        <f t="shared" si="54"/>
        <v>-4.1666666666667261E-2</v>
      </c>
      <c r="F618">
        <f t="shared" si="55"/>
        <v>70.4053928240738</v>
      </c>
      <c r="G618">
        <f t="shared" si="56"/>
        <v>451.4043707577149</v>
      </c>
      <c r="I618">
        <f t="shared" si="57"/>
        <v>5.5555555555555556E-4</v>
      </c>
      <c r="J618">
        <f t="shared" si="58"/>
        <v>9.7785267811213605E-2</v>
      </c>
      <c r="K618">
        <f t="shared" si="59"/>
        <v>1.0833704898185157</v>
      </c>
    </row>
    <row r="619" spans="1:11" x14ac:dyDescent="0.35">
      <c r="A619" s="3" t="s">
        <v>7</v>
      </c>
      <c r="B619" s="3">
        <v>616</v>
      </c>
      <c r="C619" s="3">
        <v>27</v>
      </c>
      <c r="D619" s="15">
        <v>48.4</v>
      </c>
      <c r="E619" s="1">
        <f t="shared" si="54"/>
        <v>-4.1666666666666269E-2</v>
      </c>
      <c r="F619">
        <f t="shared" si="55"/>
        <v>70.313508296296462</v>
      </c>
      <c r="G619">
        <f t="shared" si="56"/>
        <v>450.47364009635879</v>
      </c>
      <c r="I619">
        <f t="shared" si="57"/>
        <v>5.5555555555555556E-4</v>
      </c>
      <c r="J619">
        <f t="shared" si="58"/>
        <v>9.765765041152287E-2</v>
      </c>
      <c r="K619">
        <f t="shared" si="59"/>
        <v>1.0811367362312612</v>
      </c>
    </row>
    <row r="620" spans="1:11" x14ac:dyDescent="0.35">
      <c r="A620" s="3" t="s">
        <v>7</v>
      </c>
      <c r="B620" s="3">
        <v>617</v>
      </c>
      <c r="C620" s="3">
        <v>28</v>
      </c>
      <c r="D620" s="15">
        <v>48.2</v>
      </c>
      <c r="E620" s="1">
        <f t="shared" si="54"/>
        <v>-8.3333333333333523E-2</v>
      </c>
      <c r="F620">
        <f t="shared" si="55"/>
        <v>51.1303081851851</v>
      </c>
      <c r="G620">
        <f t="shared" si="56"/>
        <v>448.61217877364652</v>
      </c>
      <c r="I620">
        <f t="shared" si="57"/>
        <v>5.5555555555555556E-4</v>
      </c>
      <c r="J620">
        <f t="shared" si="58"/>
        <v>7.1014316923868198E-2</v>
      </c>
      <c r="K620">
        <f t="shared" si="59"/>
        <v>1.0766692290567517</v>
      </c>
    </row>
    <row r="621" spans="1:11" x14ac:dyDescent="0.35">
      <c r="A621" s="3" t="s">
        <v>7</v>
      </c>
      <c r="B621" s="3">
        <v>618</v>
      </c>
      <c r="C621" s="3">
        <v>29</v>
      </c>
      <c r="D621" s="15">
        <v>47.8</v>
      </c>
      <c r="E621" s="1">
        <f t="shared" si="54"/>
        <v>-0.16666666666666705</v>
      </c>
      <c r="F621">
        <f t="shared" si="55"/>
        <v>12.766183740740569</v>
      </c>
      <c r="G621">
        <f t="shared" si="56"/>
        <v>444.88925612822209</v>
      </c>
      <c r="I621">
        <f t="shared" si="57"/>
        <v>5.5555555555555556E-4</v>
      </c>
      <c r="J621">
        <f t="shared" si="58"/>
        <v>1.7730810751028569E-2</v>
      </c>
      <c r="K621">
        <f t="shared" si="59"/>
        <v>1.0677342147077331</v>
      </c>
    </row>
    <row r="622" spans="1:11" x14ac:dyDescent="0.35">
      <c r="A622" s="3" t="s">
        <v>7</v>
      </c>
      <c r="B622" s="3">
        <v>619</v>
      </c>
      <c r="C622" s="3">
        <v>30</v>
      </c>
      <c r="D622" s="15">
        <v>47</v>
      </c>
      <c r="E622" s="1">
        <f t="shared" si="54"/>
        <v>-0.26388888888888867</v>
      </c>
      <c r="F622">
        <f t="shared" si="55"/>
        <v>0</v>
      </c>
      <c r="G622">
        <f t="shared" si="56"/>
        <v>437.44341083737316</v>
      </c>
      <c r="I622">
        <f t="shared" si="57"/>
        <v>5.5555555555555556E-4</v>
      </c>
      <c r="J622">
        <f t="shared" si="58"/>
        <v>0</v>
      </c>
      <c r="K622">
        <f t="shared" si="59"/>
        <v>1.0498641860096956</v>
      </c>
    </row>
    <row r="623" spans="1:11" x14ac:dyDescent="0.35">
      <c r="A623" s="3" t="s">
        <v>7</v>
      </c>
      <c r="B623" s="3">
        <v>620</v>
      </c>
      <c r="C623" s="3">
        <v>31</v>
      </c>
      <c r="D623" s="15">
        <v>45.9</v>
      </c>
      <c r="E623" s="1">
        <f t="shared" si="54"/>
        <v>-0.29166666666666685</v>
      </c>
      <c r="F623">
        <f t="shared" si="55"/>
        <v>0</v>
      </c>
      <c r="G623">
        <f t="shared" si="56"/>
        <v>427.20537356245592</v>
      </c>
      <c r="I623">
        <f t="shared" si="57"/>
        <v>5.5555555555555556E-4</v>
      </c>
      <c r="J623">
        <f t="shared" si="58"/>
        <v>0</v>
      </c>
      <c r="K623">
        <f t="shared" si="59"/>
        <v>1.0252928965498942</v>
      </c>
    </row>
    <row r="624" spans="1:11" x14ac:dyDescent="0.35">
      <c r="A624" s="3" t="s">
        <v>7</v>
      </c>
      <c r="B624" s="3">
        <v>621</v>
      </c>
      <c r="C624" s="3">
        <v>32</v>
      </c>
      <c r="D624" s="15">
        <v>44.9</v>
      </c>
      <c r="E624" s="1">
        <f t="shared" si="54"/>
        <v>-0.20833333333333331</v>
      </c>
      <c r="F624">
        <f t="shared" si="55"/>
        <v>0</v>
      </c>
      <c r="G624">
        <f t="shared" si="56"/>
        <v>417.89806694889484</v>
      </c>
      <c r="I624">
        <f t="shared" si="57"/>
        <v>5.5555555555555556E-4</v>
      </c>
      <c r="J624">
        <f t="shared" si="58"/>
        <v>0</v>
      </c>
      <c r="K624">
        <f t="shared" si="59"/>
        <v>1.0029553606773476</v>
      </c>
    </row>
    <row r="625" spans="1:11" x14ac:dyDescent="0.35">
      <c r="A625" s="3" t="s">
        <v>7</v>
      </c>
      <c r="B625" s="3">
        <v>622</v>
      </c>
      <c r="C625" s="3">
        <v>33</v>
      </c>
      <c r="D625" s="15">
        <v>44.4</v>
      </c>
      <c r="E625" s="1">
        <f t="shared" si="54"/>
        <v>-8.3333333333333523E-2</v>
      </c>
      <c r="F625">
        <f t="shared" si="55"/>
        <v>47.793638666666574</v>
      </c>
      <c r="G625">
        <f t="shared" si="56"/>
        <v>413.24441364211424</v>
      </c>
      <c r="I625">
        <f t="shared" si="57"/>
        <v>5.5555555555555556E-4</v>
      </c>
      <c r="J625">
        <f t="shared" si="58"/>
        <v>6.6380053703703576E-2</v>
      </c>
      <c r="K625">
        <f t="shared" si="59"/>
        <v>0.99178659274107428</v>
      </c>
    </row>
    <row r="626" spans="1:11" x14ac:dyDescent="0.35">
      <c r="A626" s="3" t="s">
        <v>7</v>
      </c>
      <c r="B626" s="3">
        <v>623</v>
      </c>
      <c r="C626" s="3">
        <v>34</v>
      </c>
      <c r="D626" s="15">
        <v>44.3</v>
      </c>
      <c r="E626" s="1">
        <f t="shared" si="54"/>
        <v>1.3888888888889086E-2</v>
      </c>
      <c r="F626">
        <f t="shared" si="55"/>
        <v>92.042863046296361</v>
      </c>
      <c r="G626">
        <f t="shared" si="56"/>
        <v>412.31368298075813</v>
      </c>
      <c r="I626">
        <f t="shared" si="57"/>
        <v>5.5555555555555556E-4</v>
      </c>
      <c r="J626">
        <f t="shared" si="58"/>
        <v>0.12783730978652272</v>
      </c>
      <c r="K626">
        <f t="shared" si="59"/>
        <v>0.98955283915381964</v>
      </c>
    </row>
    <row r="627" spans="1:11" x14ac:dyDescent="0.35">
      <c r="A627" s="3" t="s">
        <v>7</v>
      </c>
      <c r="B627" s="3">
        <v>624</v>
      </c>
      <c r="C627" s="3">
        <v>35</v>
      </c>
      <c r="D627" s="15">
        <v>44.5</v>
      </c>
      <c r="E627" s="1">
        <f t="shared" si="54"/>
        <v>0.1111111111111117</v>
      </c>
      <c r="F627">
        <f t="shared" si="55"/>
        <v>136.54460393518542</v>
      </c>
      <c r="G627">
        <f t="shared" si="56"/>
        <v>414.17514430347035</v>
      </c>
      <c r="I627">
        <f t="shared" si="57"/>
        <v>5.5555555555555556E-4</v>
      </c>
      <c r="J627">
        <f t="shared" si="58"/>
        <v>0.18964528324331309</v>
      </c>
      <c r="K627">
        <f t="shared" si="59"/>
        <v>0.99402034632832892</v>
      </c>
    </row>
    <row r="628" spans="1:11" x14ac:dyDescent="0.35">
      <c r="A628" s="3" t="s">
        <v>7</v>
      </c>
      <c r="B628" s="3">
        <v>625</v>
      </c>
      <c r="C628" s="3">
        <v>36</v>
      </c>
      <c r="D628" s="15">
        <v>45.1</v>
      </c>
      <c r="E628" s="1">
        <f t="shared" si="54"/>
        <v>0.16666666666666705</v>
      </c>
      <c r="F628">
        <f t="shared" si="55"/>
        <v>162.38771149074088</v>
      </c>
      <c r="G628">
        <f t="shared" si="56"/>
        <v>419.75952827160705</v>
      </c>
      <c r="I628">
        <f t="shared" si="57"/>
        <v>5.5555555555555556E-4</v>
      </c>
      <c r="J628">
        <f t="shared" si="58"/>
        <v>0.22553848818158456</v>
      </c>
      <c r="K628">
        <f t="shared" si="59"/>
        <v>1.0074228678518569</v>
      </c>
    </row>
    <row r="629" spans="1:11" x14ac:dyDescent="0.35">
      <c r="A629" s="3" t="s">
        <v>7</v>
      </c>
      <c r="B629" s="3">
        <v>626</v>
      </c>
      <c r="C629" s="3">
        <v>37</v>
      </c>
      <c r="D629" s="15">
        <v>45.7</v>
      </c>
      <c r="E629" s="1">
        <f t="shared" si="54"/>
        <v>0.12499999999999981</v>
      </c>
      <c r="F629">
        <f t="shared" si="55"/>
        <v>143.90431304629621</v>
      </c>
      <c r="G629">
        <f t="shared" si="56"/>
        <v>425.3439122397437</v>
      </c>
      <c r="I629">
        <f t="shared" si="57"/>
        <v>5.5555555555555556E-4</v>
      </c>
      <c r="J629">
        <f t="shared" si="58"/>
        <v>0.19986710145318917</v>
      </c>
      <c r="K629">
        <f t="shared" si="59"/>
        <v>1.0208253893753849</v>
      </c>
    </row>
    <row r="630" spans="1:11" x14ac:dyDescent="0.35">
      <c r="A630" s="3" t="s">
        <v>7</v>
      </c>
      <c r="B630" s="3">
        <v>627</v>
      </c>
      <c r="C630" s="3">
        <v>38</v>
      </c>
      <c r="D630" s="15">
        <v>46</v>
      </c>
      <c r="E630" s="1">
        <f t="shared" si="54"/>
        <v>4.1666666666666269E-2</v>
      </c>
      <c r="F630">
        <f t="shared" si="55"/>
        <v>106.16517407407387</v>
      </c>
      <c r="G630">
        <f t="shared" si="56"/>
        <v>428.13610422381208</v>
      </c>
      <c r="I630">
        <f t="shared" si="57"/>
        <v>5.5555555555555556E-4</v>
      </c>
      <c r="J630">
        <f t="shared" si="58"/>
        <v>0.14745163065843594</v>
      </c>
      <c r="K630">
        <f t="shared" si="59"/>
        <v>1.0275266501371489</v>
      </c>
    </row>
    <row r="631" spans="1:11" x14ac:dyDescent="0.35">
      <c r="A631" s="3" t="s">
        <v>7</v>
      </c>
      <c r="B631" s="3">
        <v>628</v>
      </c>
      <c r="C631" s="3">
        <v>39</v>
      </c>
      <c r="D631" s="15">
        <v>46</v>
      </c>
      <c r="E631" s="1">
        <f t="shared" si="54"/>
        <v>0</v>
      </c>
      <c r="F631">
        <f t="shared" si="55"/>
        <v>87.165174074074073</v>
      </c>
      <c r="G631">
        <f t="shared" si="56"/>
        <v>428.13610422381208</v>
      </c>
      <c r="I631">
        <f t="shared" si="57"/>
        <v>5.5555555555555556E-4</v>
      </c>
      <c r="J631">
        <f t="shared" si="58"/>
        <v>0.12106274176954733</v>
      </c>
      <c r="K631">
        <f t="shared" si="59"/>
        <v>1.0275266501371489</v>
      </c>
    </row>
    <row r="632" spans="1:11" x14ac:dyDescent="0.35">
      <c r="A632" s="3" t="s">
        <v>7</v>
      </c>
      <c r="B632" s="3">
        <v>629</v>
      </c>
      <c r="C632" s="3">
        <v>40</v>
      </c>
      <c r="D632" s="15">
        <v>46</v>
      </c>
      <c r="E632" s="1">
        <f t="shared" si="54"/>
        <v>1.3888888888889086E-2</v>
      </c>
      <c r="F632">
        <f t="shared" si="55"/>
        <v>93.498507407407487</v>
      </c>
      <c r="G632">
        <f t="shared" si="56"/>
        <v>428.13610422381208</v>
      </c>
      <c r="I632">
        <f t="shared" si="57"/>
        <v>5.5555555555555556E-4</v>
      </c>
      <c r="J632">
        <f t="shared" si="58"/>
        <v>0.12985903806584373</v>
      </c>
      <c r="K632">
        <f t="shared" si="59"/>
        <v>1.0275266501371489</v>
      </c>
    </row>
    <row r="633" spans="1:11" x14ac:dyDescent="0.35">
      <c r="A633" s="3" t="s">
        <v>7</v>
      </c>
      <c r="B633" s="3">
        <v>630</v>
      </c>
      <c r="C633" s="3">
        <v>41</v>
      </c>
      <c r="D633" s="15">
        <v>46.1</v>
      </c>
      <c r="E633" s="1">
        <f t="shared" si="54"/>
        <v>9.7222222222222612E-2</v>
      </c>
      <c r="F633">
        <f t="shared" si="55"/>
        <v>131.58584037962979</v>
      </c>
      <c r="G633">
        <f t="shared" si="56"/>
        <v>429.06683488516819</v>
      </c>
      <c r="I633">
        <f t="shared" si="57"/>
        <v>5.5555555555555556E-4</v>
      </c>
      <c r="J633">
        <f t="shared" si="58"/>
        <v>0.18275811163837472</v>
      </c>
      <c r="K633">
        <f t="shared" si="59"/>
        <v>1.0297604037244037</v>
      </c>
    </row>
    <row r="634" spans="1:11" x14ac:dyDescent="0.35">
      <c r="A634" s="3" t="s">
        <v>7</v>
      </c>
      <c r="B634" s="3">
        <v>631</v>
      </c>
      <c r="C634" s="3">
        <v>42</v>
      </c>
      <c r="D634" s="15">
        <v>46.7</v>
      </c>
      <c r="E634" s="1">
        <f t="shared" si="54"/>
        <v>0.2222222222222224</v>
      </c>
      <c r="F634">
        <f t="shared" si="55"/>
        <v>189.11382082407414</v>
      </c>
      <c r="G634">
        <f t="shared" si="56"/>
        <v>434.65121885330484</v>
      </c>
      <c r="I634">
        <f t="shared" si="57"/>
        <v>5.5555555555555556E-4</v>
      </c>
      <c r="J634">
        <f t="shared" si="58"/>
        <v>0.26265808447788075</v>
      </c>
      <c r="K634">
        <f t="shared" si="59"/>
        <v>1.0431629252479317</v>
      </c>
    </row>
    <row r="635" spans="1:11" x14ac:dyDescent="0.35">
      <c r="A635" s="3" t="s">
        <v>7</v>
      </c>
      <c r="B635" s="3">
        <v>632</v>
      </c>
      <c r="C635" s="3">
        <v>43</v>
      </c>
      <c r="D635" s="15">
        <v>47.7</v>
      </c>
      <c r="E635" s="1">
        <f t="shared" si="54"/>
        <v>0.30555555555555497</v>
      </c>
      <c r="F635">
        <f t="shared" si="55"/>
        <v>228.00896008333305</v>
      </c>
      <c r="G635">
        <f t="shared" si="56"/>
        <v>443.95852546686598</v>
      </c>
      <c r="I635">
        <f t="shared" si="57"/>
        <v>5.5555555555555556E-4</v>
      </c>
      <c r="J635">
        <f t="shared" si="58"/>
        <v>0.31667911122685144</v>
      </c>
      <c r="K635">
        <f t="shared" si="59"/>
        <v>1.0655004611204784</v>
      </c>
    </row>
    <row r="636" spans="1:11" x14ac:dyDescent="0.35">
      <c r="A636" s="3" t="s">
        <v>7</v>
      </c>
      <c r="B636" s="3">
        <v>633</v>
      </c>
      <c r="C636" s="3">
        <v>44</v>
      </c>
      <c r="D636" s="15">
        <v>48.9</v>
      </c>
      <c r="E636" s="1">
        <f t="shared" si="54"/>
        <v>0.36111111111111033</v>
      </c>
      <c r="F636">
        <f t="shared" si="55"/>
        <v>254.44149408333297</v>
      </c>
      <c r="G636">
        <f t="shared" si="56"/>
        <v>455.12729340313933</v>
      </c>
      <c r="I636">
        <f t="shared" si="57"/>
        <v>5.5555555555555556E-4</v>
      </c>
      <c r="J636">
        <f t="shared" si="58"/>
        <v>0.3533909640046291</v>
      </c>
      <c r="K636">
        <f t="shared" si="59"/>
        <v>1.0923055041675345</v>
      </c>
    </row>
    <row r="637" spans="1:11" x14ac:dyDescent="0.35">
      <c r="A637" s="3" t="s">
        <v>7</v>
      </c>
      <c r="B637" s="3">
        <v>634</v>
      </c>
      <c r="C637" s="3">
        <v>45</v>
      </c>
      <c r="D637" s="15">
        <v>50.3</v>
      </c>
      <c r="E637" s="1">
        <f t="shared" si="54"/>
        <v>0.37500000000000039</v>
      </c>
      <c r="F637">
        <f t="shared" si="55"/>
        <v>262.0917441574075</v>
      </c>
      <c r="G637">
        <f t="shared" si="56"/>
        <v>468.1575226621249</v>
      </c>
      <c r="I637">
        <f t="shared" si="57"/>
        <v>5.5555555555555556E-4</v>
      </c>
      <c r="J637">
        <f t="shared" si="58"/>
        <v>0.36401631132973267</v>
      </c>
      <c r="K637">
        <f t="shared" si="59"/>
        <v>1.1235780543890999</v>
      </c>
    </row>
    <row r="638" spans="1:11" x14ac:dyDescent="0.35">
      <c r="A638" s="3" t="s">
        <v>7</v>
      </c>
      <c r="B638" s="3">
        <v>635</v>
      </c>
      <c r="C638" s="3">
        <v>46</v>
      </c>
      <c r="D638" s="15">
        <v>51.6</v>
      </c>
      <c r="E638" s="1">
        <f t="shared" si="54"/>
        <v>0.31944444444444503</v>
      </c>
      <c r="F638">
        <f t="shared" si="55"/>
        <v>238.01454533333359</v>
      </c>
      <c r="G638">
        <f t="shared" si="56"/>
        <v>480.25702125975437</v>
      </c>
      <c r="I638">
        <f t="shared" si="57"/>
        <v>5.5555555555555556E-4</v>
      </c>
      <c r="J638">
        <f t="shared" si="58"/>
        <v>0.33057575740740774</v>
      </c>
      <c r="K638">
        <f t="shared" si="59"/>
        <v>1.1526168510234105</v>
      </c>
    </row>
    <row r="639" spans="1:11" x14ac:dyDescent="0.35">
      <c r="A639" s="3" t="s">
        <v>7</v>
      </c>
      <c r="B639" s="3">
        <v>636</v>
      </c>
      <c r="C639" s="3">
        <v>47</v>
      </c>
      <c r="D639" s="15">
        <v>52.6</v>
      </c>
      <c r="E639" s="1">
        <f t="shared" si="54"/>
        <v>0.19444444444444425</v>
      </c>
      <c r="F639">
        <f t="shared" si="55"/>
        <v>182.00261218518509</v>
      </c>
      <c r="G639">
        <f t="shared" si="56"/>
        <v>489.56432787331551</v>
      </c>
      <c r="I639">
        <f t="shared" si="57"/>
        <v>5.5555555555555556E-4</v>
      </c>
      <c r="J639">
        <f t="shared" si="58"/>
        <v>0.25278140581275704</v>
      </c>
      <c r="K639">
        <f t="shared" si="59"/>
        <v>1.1749543868959571</v>
      </c>
    </row>
    <row r="640" spans="1:11" x14ac:dyDescent="0.35">
      <c r="A640" s="3" t="s">
        <v>7</v>
      </c>
      <c r="B640" s="3">
        <v>637</v>
      </c>
      <c r="C640" s="3">
        <v>48</v>
      </c>
      <c r="D640" s="15">
        <v>53</v>
      </c>
      <c r="E640" s="1">
        <f t="shared" si="54"/>
        <v>5.5555555555555358E-2</v>
      </c>
      <c r="F640">
        <f t="shared" si="55"/>
        <v>119.06981574074064</v>
      </c>
      <c r="G640">
        <f t="shared" si="56"/>
        <v>493.28725051874</v>
      </c>
      <c r="I640">
        <f t="shared" si="57"/>
        <v>5.5555555555555556E-4</v>
      </c>
      <c r="J640">
        <f t="shared" si="58"/>
        <v>0.16537474408436201</v>
      </c>
      <c r="K640">
        <f t="shared" si="59"/>
        <v>1.1838894012449759</v>
      </c>
    </row>
    <row r="641" spans="1:11" x14ac:dyDescent="0.35">
      <c r="A641" s="3" t="s">
        <v>7</v>
      </c>
      <c r="B641" s="3">
        <v>638</v>
      </c>
      <c r="C641" s="3">
        <v>49</v>
      </c>
      <c r="D641" s="15">
        <v>53</v>
      </c>
      <c r="E641" s="1">
        <f t="shared" si="54"/>
        <v>-1.3888888888889086E-2</v>
      </c>
      <c r="F641">
        <f t="shared" si="55"/>
        <v>87.40314907407398</v>
      </c>
      <c r="G641">
        <f t="shared" si="56"/>
        <v>493.28725051874</v>
      </c>
      <c r="I641">
        <f t="shared" si="57"/>
        <v>5.5555555555555556E-4</v>
      </c>
      <c r="J641">
        <f t="shared" si="58"/>
        <v>0.12139326260288053</v>
      </c>
      <c r="K641">
        <f t="shared" si="59"/>
        <v>1.1838894012449759</v>
      </c>
    </row>
    <row r="642" spans="1:11" x14ac:dyDescent="0.35">
      <c r="A642" s="3" t="s">
        <v>7</v>
      </c>
      <c r="B642" s="3">
        <v>639</v>
      </c>
      <c r="C642" s="3">
        <v>50</v>
      </c>
      <c r="D642" s="15">
        <v>52.9</v>
      </c>
      <c r="E642" s="1">
        <f t="shared" si="54"/>
        <v>-4.1666666666666269E-2</v>
      </c>
      <c r="F642">
        <f t="shared" si="55"/>
        <v>74.636063712963136</v>
      </c>
      <c r="G642">
        <f t="shared" si="56"/>
        <v>492.35651985738389</v>
      </c>
      <c r="I642">
        <f t="shared" si="57"/>
        <v>5.5555555555555556E-4</v>
      </c>
      <c r="J642">
        <f t="shared" si="58"/>
        <v>0.10366119960133768</v>
      </c>
      <c r="K642">
        <f t="shared" si="59"/>
        <v>1.1816556476577214</v>
      </c>
    </row>
    <row r="643" spans="1:11" x14ac:dyDescent="0.35">
      <c r="A643" s="3" t="s">
        <v>7</v>
      </c>
      <c r="B643" s="3">
        <v>640</v>
      </c>
      <c r="C643" s="3">
        <v>51</v>
      </c>
      <c r="D643" s="15">
        <v>52.7</v>
      </c>
      <c r="E643" s="1">
        <f t="shared" si="54"/>
        <v>-4.1666666666666269E-2</v>
      </c>
      <c r="F643">
        <f t="shared" si="55"/>
        <v>74.435795268518689</v>
      </c>
      <c r="G643">
        <f t="shared" si="56"/>
        <v>490.49505853467161</v>
      </c>
      <c r="I643">
        <f t="shared" si="57"/>
        <v>5.5555555555555556E-4</v>
      </c>
      <c r="J643">
        <f t="shared" si="58"/>
        <v>0.10338304898405373</v>
      </c>
      <c r="K643">
        <f t="shared" si="59"/>
        <v>1.1771881404832119</v>
      </c>
    </row>
    <row r="644" spans="1:11" x14ac:dyDescent="0.35">
      <c r="A644" s="3" t="s">
        <v>7</v>
      </c>
      <c r="B644" s="3">
        <v>641</v>
      </c>
      <c r="C644" s="3">
        <v>52</v>
      </c>
      <c r="D644" s="15">
        <v>52.6</v>
      </c>
      <c r="E644" s="1">
        <f t="shared" si="54"/>
        <v>5.5555555555555358E-2</v>
      </c>
      <c r="F644">
        <f t="shared" si="55"/>
        <v>118.66927885185174</v>
      </c>
      <c r="G644">
        <f t="shared" si="56"/>
        <v>489.56432787331551</v>
      </c>
      <c r="I644">
        <f t="shared" si="57"/>
        <v>5.5555555555555556E-4</v>
      </c>
      <c r="J644">
        <f t="shared" si="58"/>
        <v>0.16481844284979408</v>
      </c>
      <c r="K644">
        <f t="shared" si="59"/>
        <v>1.1749543868959571</v>
      </c>
    </row>
    <row r="645" spans="1:11" x14ac:dyDescent="0.35">
      <c r="A645" s="3" t="s">
        <v>7</v>
      </c>
      <c r="B645" s="3">
        <v>642</v>
      </c>
      <c r="C645" s="3">
        <v>53</v>
      </c>
      <c r="D645" s="15">
        <v>53.1</v>
      </c>
      <c r="E645" s="1">
        <f t="shared" ref="E645:E708" si="60">($D646-$D644)/2/3.6</f>
        <v>0.23611111111111052</v>
      </c>
      <c r="F645">
        <f t="shared" ref="F645:F708" si="61">IF(D645=0,0,MAX(0,0.285*(1600*E645 + 1600*9.81*0.015 + 0.5*1.225*0.32*2.2*(D645/3.6)^2)))</f>
        <v>201.50375741666639</v>
      </c>
      <c r="G645">
        <f t="shared" ref="G645:G708" si="62">60*D645/(2*PI()*3.6*0.285)</f>
        <v>494.2179811800961</v>
      </c>
      <c r="I645">
        <f t="shared" ref="I645:I708" si="63">1/1800</f>
        <v>5.5555555555555556E-4</v>
      </c>
      <c r="J645">
        <f t="shared" ref="J645:J708" si="64">F645/(M$3*3.6)</f>
        <v>0.27986632974536996</v>
      </c>
      <c r="K645">
        <f t="shared" ref="K645:K708" si="65">G645*3.6/N$3</f>
        <v>1.1861231548322306</v>
      </c>
    </row>
    <row r="646" spans="1:11" x14ac:dyDescent="0.35">
      <c r="A646" s="3" t="s">
        <v>7</v>
      </c>
      <c r="B646" s="3">
        <v>643</v>
      </c>
      <c r="C646" s="3">
        <v>54</v>
      </c>
      <c r="D646" s="15">
        <v>54.3</v>
      </c>
      <c r="E646" s="1">
        <f t="shared" si="60"/>
        <v>0.29166666666666685</v>
      </c>
      <c r="F646">
        <f t="shared" si="61"/>
        <v>228.05918341666677</v>
      </c>
      <c r="G646">
        <f t="shared" si="62"/>
        <v>505.38674911636946</v>
      </c>
      <c r="I646">
        <f t="shared" si="63"/>
        <v>5.5555555555555556E-4</v>
      </c>
      <c r="J646">
        <f t="shared" si="64"/>
        <v>0.3167488658564816</v>
      </c>
      <c r="K646">
        <f t="shared" si="65"/>
        <v>1.2129281978792867</v>
      </c>
    </row>
    <row r="647" spans="1:11" x14ac:dyDescent="0.35">
      <c r="A647" s="3" t="s">
        <v>7</v>
      </c>
      <c r="B647" s="3">
        <v>644</v>
      </c>
      <c r="C647" s="3">
        <v>55</v>
      </c>
      <c r="D647" s="15">
        <v>55.2</v>
      </c>
      <c r="E647" s="1">
        <f t="shared" si="60"/>
        <v>0.16666666666666705</v>
      </c>
      <c r="F647">
        <f t="shared" si="61"/>
        <v>171.99367466666683</v>
      </c>
      <c r="G647">
        <f t="shared" si="62"/>
        <v>513.76332506857443</v>
      </c>
      <c r="I647">
        <f t="shared" si="63"/>
        <v>5.5555555555555556E-4</v>
      </c>
      <c r="J647">
        <f t="shared" si="64"/>
        <v>0.23888010370370394</v>
      </c>
      <c r="K647">
        <f t="shared" si="65"/>
        <v>1.2330319801645788</v>
      </c>
    </row>
    <row r="648" spans="1:11" x14ac:dyDescent="0.35">
      <c r="A648" s="3" t="s">
        <v>7</v>
      </c>
      <c r="B648" s="3">
        <v>645</v>
      </c>
      <c r="C648" s="3">
        <v>56</v>
      </c>
      <c r="D648" s="15">
        <v>55.5</v>
      </c>
      <c r="E648" s="1">
        <f t="shared" si="60"/>
        <v>9.7222222222221627E-2</v>
      </c>
      <c r="F648">
        <f t="shared" si="61"/>
        <v>140.64191874999972</v>
      </c>
      <c r="G648">
        <f t="shared" si="62"/>
        <v>516.55551705264281</v>
      </c>
      <c r="I648">
        <f t="shared" si="63"/>
        <v>5.5555555555555556E-4</v>
      </c>
      <c r="J648">
        <f t="shared" si="64"/>
        <v>0.19533599826388851</v>
      </c>
      <c r="K648">
        <f t="shared" si="65"/>
        <v>1.2397332409263428</v>
      </c>
    </row>
    <row r="649" spans="1:11" x14ac:dyDescent="0.35">
      <c r="A649" s="3" t="s">
        <v>7</v>
      </c>
      <c r="B649" s="3">
        <v>646</v>
      </c>
      <c r="C649" s="3">
        <v>57</v>
      </c>
      <c r="D649" s="15">
        <v>55.9</v>
      </c>
      <c r="E649" s="1">
        <f t="shared" si="60"/>
        <v>0.11111111111111072</v>
      </c>
      <c r="F649">
        <f t="shared" si="61"/>
        <v>147.39778815740721</v>
      </c>
      <c r="G649">
        <f t="shared" si="62"/>
        <v>520.27843969806725</v>
      </c>
      <c r="I649">
        <f t="shared" si="63"/>
        <v>5.5555555555555556E-4</v>
      </c>
      <c r="J649">
        <f t="shared" si="64"/>
        <v>0.20471915021862111</v>
      </c>
      <c r="K649">
        <f t="shared" si="65"/>
        <v>1.2486682552753614</v>
      </c>
    </row>
    <row r="650" spans="1:11" x14ac:dyDescent="0.35">
      <c r="A650" s="3" t="s">
        <v>7</v>
      </c>
      <c r="B650" s="3">
        <v>647</v>
      </c>
      <c r="C650" s="3">
        <v>58</v>
      </c>
      <c r="D650" s="15">
        <v>56.3</v>
      </c>
      <c r="E650" s="1">
        <f t="shared" si="60"/>
        <v>0.1111111111111117</v>
      </c>
      <c r="F650">
        <f t="shared" si="61"/>
        <v>147.82335860185211</v>
      </c>
      <c r="G650">
        <f t="shared" si="62"/>
        <v>524.00136234349168</v>
      </c>
      <c r="I650">
        <f t="shared" si="63"/>
        <v>5.5555555555555556E-4</v>
      </c>
      <c r="J650">
        <f t="shared" si="64"/>
        <v>0.20531022028035015</v>
      </c>
      <c r="K650">
        <f t="shared" si="65"/>
        <v>1.2576032696243802</v>
      </c>
    </row>
    <row r="651" spans="1:11" x14ac:dyDescent="0.35">
      <c r="A651" s="3" t="s">
        <v>7</v>
      </c>
      <c r="B651" s="3">
        <v>648</v>
      </c>
      <c r="C651" s="3">
        <v>59</v>
      </c>
      <c r="D651" s="15">
        <v>56.7</v>
      </c>
      <c r="E651" s="1">
        <f t="shared" si="60"/>
        <v>8.3333333333333523E-2</v>
      </c>
      <c r="F651">
        <f t="shared" si="61"/>
        <v>135.58529675000008</v>
      </c>
      <c r="G651">
        <f t="shared" si="62"/>
        <v>527.72428498891611</v>
      </c>
      <c r="I651">
        <f t="shared" si="63"/>
        <v>5.5555555555555556E-4</v>
      </c>
      <c r="J651">
        <f t="shared" si="64"/>
        <v>0.1883129121527779</v>
      </c>
      <c r="K651">
        <f t="shared" si="65"/>
        <v>1.2665382839733987</v>
      </c>
    </row>
    <row r="652" spans="1:11" x14ac:dyDescent="0.35">
      <c r="A652" s="3" t="s">
        <v>7</v>
      </c>
      <c r="B652" s="3">
        <v>649</v>
      </c>
      <c r="C652" s="3">
        <v>60</v>
      </c>
      <c r="D652" s="15">
        <v>56.9</v>
      </c>
      <c r="E652" s="1">
        <f t="shared" si="60"/>
        <v>1.3888888888888099E-2</v>
      </c>
      <c r="F652">
        <f t="shared" si="61"/>
        <v>104.13407037962928</v>
      </c>
      <c r="G652">
        <f t="shared" si="62"/>
        <v>529.58574631162844</v>
      </c>
      <c r="I652">
        <f t="shared" si="63"/>
        <v>5.5555555555555556E-4</v>
      </c>
      <c r="J652">
        <f t="shared" si="64"/>
        <v>0.14463065330504066</v>
      </c>
      <c r="K652">
        <f t="shared" si="65"/>
        <v>1.2710057911479082</v>
      </c>
    </row>
    <row r="653" spans="1:11" x14ac:dyDescent="0.35">
      <c r="A653" s="3" t="s">
        <v>7</v>
      </c>
      <c r="B653" s="3">
        <v>650</v>
      </c>
      <c r="C653" s="3">
        <v>61</v>
      </c>
      <c r="D653" s="15">
        <v>56.8</v>
      </c>
      <c r="E653" s="1">
        <f t="shared" si="60"/>
        <v>-0.12499999999999981</v>
      </c>
      <c r="F653">
        <f t="shared" si="61"/>
        <v>40.692922074074161</v>
      </c>
      <c r="G653">
        <f t="shared" si="62"/>
        <v>528.65501565027228</v>
      </c>
      <c r="I653">
        <f t="shared" si="63"/>
        <v>5.5555555555555556E-4</v>
      </c>
      <c r="J653">
        <f t="shared" si="64"/>
        <v>5.6517947325102999E-2</v>
      </c>
      <c r="K653">
        <f t="shared" si="65"/>
        <v>1.2687720375606535</v>
      </c>
    </row>
    <row r="654" spans="1:11" x14ac:dyDescent="0.35">
      <c r="A654" s="3" t="s">
        <v>7</v>
      </c>
      <c r="B654" s="3">
        <v>651</v>
      </c>
      <c r="C654" s="3">
        <v>62</v>
      </c>
      <c r="D654" s="15">
        <v>56</v>
      </c>
      <c r="E654" s="1">
        <f t="shared" si="60"/>
        <v>-0.36111111111111033</v>
      </c>
      <c r="F654">
        <f t="shared" si="61"/>
        <v>0</v>
      </c>
      <c r="G654">
        <f t="shared" si="62"/>
        <v>521.20917035942341</v>
      </c>
      <c r="I654">
        <f t="shared" si="63"/>
        <v>5.5555555555555556E-4</v>
      </c>
      <c r="J654">
        <f t="shared" si="64"/>
        <v>0</v>
      </c>
      <c r="K654">
        <f t="shared" si="65"/>
        <v>1.2509020088626162</v>
      </c>
    </row>
    <row r="655" spans="1:11" x14ac:dyDescent="0.35">
      <c r="A655" s="3" t="s">
        <v>7</v>
      </c>
      <c r="B655" s="3">
        <v>652</v>
      </c>
      <c r="C655" s="3">
        <v>63</v>
      </c>
      <c r="D655" s="15">
        <v>54.2</v>
      </c>
      <c r="E655" s="1">
        <f t="shared" si="60"/>
        <v>-0.54166666666666641</v>
      </c>
      <c r="F655">
        <f t="shared" si="61"/>
        <v>0</v>
      </c>
      <c r="G655">
        <f t="shared" si="62"/>
        <v>504.45601845501335</v>
      </c>
      <c r="I655">
        <f t="shared" si="63"/>
        <v>5.5555555555555556E-4</v>
      </c>
      <c r="J655">
        <f t="shared" si="64"/>
        <v>0</v>
      </c>
      <c r="K655">
        <f t="shared" si="65"/>
        <v>1.2106944442920322</v>
      </c>
    </row>
    <row r="656" spans="1:11" x14ac:dyDescent="0.35">
      <c r="A656" s="3" t="s">
        <v>7</v>
      </c>
      <c r="B656" s="3">
        <v>653</v>
      </c>
      <c r="C656" s="3">
        <v>64</v>
      </c>
      <c r="D656" s="15">
        <v>52.1</v>
      </c>
      <c r="E656" s="1">
        <f t="shared" si="60"/>
        <v>-0.56944444444444464</v>
      </c>
      <c r="F656">
        <f t="shared" si="61"/>
        <v>0</v>
      </c>
      <c r="G656">
        <f t="shared" si="62"/>
        <v>484.91067456653496</v>
      </c>
      <c r="I656">
        <f t="shared" si="63"/>
        <v>5.5555555555555556E-4</v>
      </c>
      <c r="J656">
        <f t="shared" si="64"/>
        <v>0</v>
      </c>
      <c r="K656">
        <f t="shared" si="65"/>
        <v>1.163785618959684</v>
      </c>
    </row>
    <row r="657" spans="1:11" x14ac:dyDescent="0.35">
      <c r="A657" s="3" t="s">
        <v>7</v>
      </c>
      <c r="B657" s="3">
        <v>654</v>
      </c>
      <c r="C657" s="3">
        <v>65</v>
      </c>
      <c r="D657" s="15">
        <v>50.1</v>
      </c>
      <c r="E657" s="1">
        <f t="shared" si="60"/>
        <v>-0.68055555555555536</v>
      </c>
      <c r="F657">
        <f t="shared" si="61"/>
        <v>0</v>
      </c>
      <c r="G657">
        <f t="shared" si="62"/>
        <v>466.29606133941269</v>
      </c>
      <c r="I657">
        <f t="shared" si="63"/>
        <v>5.5555555555555556E-4</v>
      </c>
      <c r="J657">
        <f t="shared" si="64"/>
        <v>0</v>
      </c>
      <c r="K657">
        <f t="shared" si="65"/>
        <v>1.1191105472145906</v>
      </c>
    </row>
    <row r="658" spans="1:11" x14ac:dyDescent="0.35">
      <c r="A658" s="3" t="s">
        <v>7</v>
      </c>
      <c r="B658" s="3">
        <v>655</v>
      </c>
      <c r="C658" s="3">
        <v>66</v>
      </c>
      <c r="D658" s="15">
        <v>47.2</v>
      </c>
      <c r="E658" s="1">
        <f t="shared" si="60"/>
        <v>-0.95833333333333315</v>
      </c>
      <c r="F658">
        <f t="shared" si="61"/>
        <v>0</v>
      </c>
      <c r="G658">
        <f t="shared" si="62"/>
        <v>439.30487216008544</v>
      </c>
      <c r="I658">
        <f t="shared" si="63"/>
        <v>5.5555555555555556E-4</v>
      </c>
      <c r="J658">
        <f t="shared" si="64"/>
        <v>0</v>
      </c>
      <c r="K658">
        <f t="shared" si="65"/>
        <v>1.0543316931842051</v>
      </c>
    </row>
    <row r="659" spans="1:11" x14ac:dyDescent="0.35">
      <c r="A659" s="3" t="s">
        <v>7</v>
      </c>
      <c r="B659" s="3">
        <v>656</v>
      </c>
      <c r="C659" s="3">
        <v>67</v>
      </c>
      <c r="D659" s="15">
        <v>43.2</v>
      </c>
      <c r="E659" s="1">
        <f t="shared" si="60"/>
        <v>-1.1111111111111112</v>
      </c>
      <c r="F659">
        <f t="shared" si="61"/>
        <v>0</v>
      </c>
      <c r="G659">
        <f t="shared" si="62"/>
        <v>402.07564570584088</v>
      </c>
      <c r="I659">
        <f t="shared" si="63"/>
        <v>5.5555555555555556E-4</v>
      </c>
      <c r="J659">
        <f t="shared" si="64"/>
        <v>0</v>
      </c>
      <c r="K659">
        <f t="shared" si="65"/>
        <v>0.96498154969401817</v>
      </c>
    </row>
    <row r="660" spans="1:11" x14ac:dyDescent="0.35">
      <c r="A660" s="3" t="s">
        <v>7</v>
      </c>
      <c r="B660" s="3">
        <v>657</v>
      </c>
      <c r="C660" s="3">
        <v>68</v>
      </c>
      <c r="D660" s="15">
        <v>39.200000000000003</v>
      </c>
      <c r="E660" s="1">
        <f t="shared" si="60"/>
        <v>-0.93055555555555591</v>
      </c>
      <c r="F660">
        <f t="shared" si="61"/>
        <v>0</v>
      </c>
      <c r="G660">
        <f t="shared" si="62"/>
        <v>364.84641925159639</v>
      </c>
      <c r="I660">
        <f t="shared" si="63"/>
        <v>5.5555555555555556E-4</v>
      </c>
      <c r="J660">
        <f t="shared" si="64"/>
        <v>0</v>
      </c>
      <c r="K660">
        <f t="shared" si="65"/>
        <v>0.8756314062038314</v>
      </c>
    </row>
    <row r="661" spans="1:11" x14ac:dyDescent="0.35">
      <c r="A661" s="3" t="s">
        <v>7</v>
      </c>
      <c r="B661" s="3">
        <v>658</v>
      </c>
      <c r="C661" s="3">
        <v>69</v>
      </c>
      <c r="D661" s="15">
        <v>36.5</v>
      </c>
      <c r="E661" s="1">
        <f t="shared" si="60"/>
        <v>-0.68055555555555636</v>
      </c>
      <c r="F661">
        <f t="shared" si="61"/>
        <v>0</v>
      </c>
      <c r="G661">
        <f t="shared" si="62"/>
        <v>339.7166913949813</v>
      </c>
      <c r="I661">
        <f t="shared" si="63"/>
        <v>5.5555555555555556E-4</v>
      </c>
      <c r="J661">
        <f t="shared" si="64"/>
        <v>0</v>
      </c>
      <c r="K661">
        <f t="shared" si="65"/>
        <v>0.81532005934795504</v>
      </c>
    </row>
    <row r="662" spans="1:11" x14ac:dyDescent="0.35">
      <c r="A662" s="3" t="s">
        <v>7</v>
      </c>
      <c r="B662" s="3">
        <v>659</v>
      </c>
      <c r="C662" s="3">
        <v>70</v>
      </c>
      <c r="D662" s="15">
        <v>34.299999999999997</v>
      </c>
      <c r="E662" s="1">
        <f t="shared" si="60"/>
        <v>-0.76388888888888884</v>
      </c>
      <c r="F662">
        <f t="shared" si="61"/>
        <v>0</v>
      </c>
      <c r="G662">
        <f t="shared" si="62"/>
        <v>319.2406168451468</v>
      </c>
      <c r="I662">
        <f t="shared" si="63"/>
        <v>5.5555555555555556E-4</v>
      </c>
      <c r="J662">
        <f t="shared" si="64"/>
        <v>0</v>
      </c>
      <c r="K662">
        <f t="shared" si="65"/>
        <v>0.76617748042835232</v>
      </c>
    </row>
    <row r="663" spans="1:11" x14ac:dyDescent="0.35">
      <c r="A663" s="3" t="s">
        <v>7</v>
      </c>
      <c r="B663" s="3">
        <v>660</v>
      </c>
      <c r="C663" s="3">
        <v>71</v>
      </c>
      <c r="D663" s="15">
        <v>31</v>
      </c>
      <c r="E663" s="1">
        <f t="shared" si="60"/>
        <v>-1.1527777777777775</v>
      </c>
      <c r="F663">
        <f t="shared" si="61"/>
        <v>0</v>
      </c>
      <c r="G663">
        <f t="shared" si="62"/>
        <v>288.52650502039506</v>
      </c>
      <c r="I663">
        <f t="shared" si="63"/>
        <v>5.5555555555555556E-4</v>
      </c>
      <c r="J663">
        <f t="shared" si="64"/>
        <v>0</v>
      </c>
      <c r="K663">
        <f t="shared" si="65"/>
        <v>0.69246361204894813</v>
      </c>
    </row>
    <row r="664" spans="1:11" x14ac:dyDescent="0.35">
      <c r="A664" s="3" t="s">
        <v>7</v>
      </c>
      <c r="B664" s="3">
        <v>661</v>
      </c>
      <c r="C664" s="3">
        <v>72</v>
      </c>
      <c r="D664" s="15">
        <v>26</v>
      </c>
      <c r="E664" s="1">
        <f t="shared" si="60"/>
        <v>-1.4305555555555556</v>
      </c>
      <c r="F664">
        <f t="shared" si="61"/>
        <v>0</v>
      </c>
      <c r="G664">
        <f t="shared" si="62"/>
        <v>241.98997195258943</v>
      </c>
      <c r="I664">
        <f t="shared" si="63"/>
        <v>5.5555555555555556E-4</v>
      </c>
      <c r="J664">
        <f t="shared" si="64"/>
        <v>0</v>
      </c>
      <c r="K664">
        <f t="shared" si="65"/>
        <v>0.58077593268621464</v>
      </c>
    </row>
    <row r="665" spans="1:11" x14ac:dyDescent="0.35">
      <c r="A665" s="3" t="s">
        <v>7</v>
      </c>
      <c r="B665" s="3">
        <v>662</v>
      </c>
      <c r="C665" s="3">
        <v>73</v>
      </c>
      <c r="D665" s="15">
        <v>20.7</v>
      </c>
      <c r="E665" s="1">
        <f t="shared" si="60"/>
        <v>-1.4722222222222221</v>
      </c>
      <c r="F665">
        <f t="shared" si="61"/>
        <v>0</v>
      </c>
      <c r="G665">
        <f t="shared" si="62"/>
        <v>192.66124690071541</v>
      </c>
      <c r="I665">
        <f t="shared" si="63"/>
        <v>5.5555555555555556E-4</v>
      </c>
      <c r="J665">
        <f t="shared" si="64"/>
        <v>0</v>
      </c>
      <c r="K665">
        <f t="shared" si="65"/>
        <v>0.462386992561717</v>
      </c>
    </row>
    <row r="666" spans="1:11" x14ac:dyDescent="0.35">
      <c r="A666" s="3" t="s">
        <v>7</v>
      </c>
      <c r="B666" s="3">
        <v>663</v>
      </c>
      <c r="C666" s="3">
        <v>74</v>
      </c>
      <c r="D666" s="15">
        <v>15.4</v>
      </c>
      <c r="E666" s="1">
        <f t="shared" si="60"/>
        <v>-1.0555555555555556</v>
      </c>
      <c r="F666">
        <f t="shared" si="61"/>
        <v>0</v>
      </c>
      <c r="G666">
        <f t="shared" si="62"/>
        <v>143.33252184884142</v>
      </c>
      <c r="I666">
        <f t="shared" si="63"/>
        <v>5.5555555555555556E-4</v>
      </c>
      <c r="J666">
        <f t="shared" si="64"/>
        <v>0</v>
      </c>
      <c r="K666">
        <f t="shared" si="65"/>
        <v>0.34399805243721943</v>
      </c>
    </row>
    <row r="667" spans="1:11" x14ac:dyDescent="0.35">
      <c r="A667" s="3" t="s">
        <v>7</v>
      </c>
      <c r="B667" s="3">
        <v>664</v>
      </c>
      <c r="C667" s="3">
        <v>75</v>
      </c>
      <c r="D667" s="15">
        <v>13.1</v>
      </c>
      <c r="E667" s="1">
        <f t="shared" si="60"/>
        <v>-0.47222222222222227</v>
      </c>
      <c r="F667">
        <f t="shared" si="61"/>
        <v>0</v>
      </c>
      <c r="G667">
        <f t="shared" si="62"/>
        <v>121.92571663765082</v>
      </c>
      <c r="I667">
        <f t="shared" si="63"/>
        <v>5.5555555555555556E-4</v>
      </c>
      <c r="J667">
        <f t="shared" si="64"/>
        <v>0</v>
      </c>
      <c r="K667">
        <f t="shared" si="65"/>
        <v>0.29262171993036196</v>
      </c>
    </row>
    <row r="668" spans="1:11" x14ac:dyDescent="0.35">
      <c r="A668" s="3" t="s">
        <v>7</v>
      </c>
      <c r="B668" s="3">
        <v>665</v>
      </c>
      <c r="C668" s="3">
        <v>76</v>
      </c>
      <c r="D668" s="15">
        <v>12</v>
      </c>
      <c r="E668" s="1">
        <f t="shared" si="60"/>
        <v>-8.3333333333333287E-2</v>
      </c>
      <c r="F668">
        <f t="shared" si="61"/>
        <v>30.465866666666685</v>
      </c>
      <c r="G668">
        <f t="shared" si="62"/>
        <v>111.68767936273358</v>
      </c>
      <c r="I668">
        <f t="shared" si="63"/>
        <v>5.5555555555555556E-4</v>
      </c>
      <c r="J668">
        <f t="shared" si="64"/>
        <v>4.2313703703703728E-2</v>
      </c>
      <c r="K668">
        <f t="shared" si="65"/>
        <v>0.2680504304705606</v>
      </c>
    </row>
    <row r="669" spans="1:11" x14ac:dyDescent="0.35">
      <c r="A669" s="3" t="s">
        <v>7</v>
      </c>
      <c r="B669" s="3">
        <v>666</v>
      </c>
      <c r="C669" s="3">
        <v>77</v>
      </c>
      <c r="D669" s="15">
        <v>12.5</v>
      </c>
      <c r="E669" s="1">
        <f t="shared" si="60"/>
        <v>0.27777777777777779</v>
      </c>
      <c r="F669">
        <f t="shared" si="61"/>
        <v>195.24869282407406</v>
      </c>
      <c r="G669">
        <f t="shared" si="62"/>
        <v>116.34133266951414</v>
      </c>
      <c r="I669">
        <f t="shared" si="63"/>
        <v>5.5555555555555556E-4</v>
      </c>
      <c r="J669">
        <f t="shared" si="64"/>
        <v>0.27117874003343617</v>
      </c>
      <c r="K669">
        <f t="shared" si="65"/>
        <v>0.27921919840683396</v>
      </c>
    </row>
    <row r="670" spans="1:11" x14ac:dyDescent="0.35">
      <c r="A670" s="3" t="s">
        <v>7</v>
      </c>
      <c r="B670" s="3">
        <v>667</v>
      </c>
      <c r="C670" s="3">
        <v>78</v>
      </c>
      <c r="D670" s="15">
        <v>14</v>
      </c>
      <c r="E670" s="1">
        <f t="shared" si="60"/>
        <v>0.90277777777777779</v>
      </c>
      <c r="F670">
        <f t="shared" si="61"/>
        <v>480.62561851851854</v>
      </c>
      <c r="G670">
        <f t="shared" si="62"/>
        <v>130.30229258985585</v>
      </c>
      <c r="I670">
        <f t="shared" si="63"/>
        <v>5.5555555555555556E-4</v>
      </c>
      <c r="J670">
        <f t="shared" si="64"/>
        <v>0.66753558127572021</v>
      </c>
      <c r="K670">
        <f t="shared" si="65"/>
        <v>0.31272550221565404</v>
      </c>
    </row>
    <row r="671" spans="1:11" x14ac:dyDescent="0.35">
      <c r="A671" s="3" t="s">
        <v>7</v>
      </c>
      <c r="B671" s="3">
        <v>668</v>
      </c>
      <c r="C671" s="3">
        <v>79</v>
      </c>
      <c r="D671" s="15">
        <v>19</v>
      </c>
      <c r="E671" s="1">
        <f t="shared" si="60"/>
        <v>1.2777777777777777</v>
      </c>
      <c r="F671">
        <f t="shared" si="61"/>
        <v>653.19021574074065</v>
      </c>
      <c r="G671">
        <f t="shared" si="62"/>
        <v>176.83882565766149</v>
      </c>
      <c r="I671">
        <f t="shared" si="63"/>
        <v>5.5555555555555556E-4</v>
      </c>
      <c r="J671">
        <f t="shared" si="64"/>
        <v>0.90720863297325094</v>
      </c>
      <c r="K671">
        <f t="shared" si="65"/>
        <v>0.42441318157838759</v>
      </c>
    </row>
    <row r="672" spans="1:11" x14ac:dyDescent="0.35">
      <c r="A672" s="3" t="s">
        <v>7</v>
      </c>
      <c r="B672" s="3">
        <v>669</v>
      </c>
      <c r="C672" s="3">
        <v>80</v>
      </c>
      <c r="D672" s="15">
        <v>23.2</v>
      </c>
      <c r="E672" s="1">
        <f t="shared" si="60"/>
        <v>1.25</v>
      </c>
      <c r="F672">
        <f t="shared" si="61"/>
        <v>642.20421096296286</v>
      </c>
      <c r="G672">
        <f t="shared" si="62"/>
        <v>215.92951343461826</v>
      </c>
      <c r="I672">
        <f t="shared" si="63"/>
        <v>5.5555555555555556E-4</v>
      </c>
      <c r="J672">
        <f t="shared" si="64"/>
        <v>0.8919502930041151</v>
      </c>
      <c r="K672">
        <f t="shared" si="65"/>
        <v>0.51823083224308375</v>
      </c>
    </row>
    <row r="673" spans="1:11" x14ac:dyDescent="0.35">
      <c r="A673" s="3" t="s">
        <v>7</v>
      </c>
      <c r="B673" s="3">
        <v>670</v>
      </c>
      <c r="C673" s="3">
        <v>81</v>
      </c>
      <c r="D673" s="15">
        <v>28</v>
      </c>
      <c r="E673" s="1">
        <f t="shared" si="60"/>
        <v>1.2222222222222223</v>
      </c>
      <c r="F673">
        <f t="shared" si="61"/>
        <v>631.86794074074078</v>
      </c>
      <c r="G673">
        <f t="shared" si="62"/>
        <v>260.60458517971171</v>
      </c>
      <c r="I673">
        <f t="shared" si="63"/>
        <v>5.5555555555555556E-4</v>
      </c>
      <c r="J673">
        <f t="shared" si="64"/>
        <v>0.87759436213991771</v>
      </c>
      <c r="K673">
        <f t="shared" si="65"/>
        <v>0.62545100443130808</v>
      </c>
    </row>
    <row r="674" spans="1:11" x14ac:dyDescent="0.35">
      <c r="A674" s="3" t="s">
        <v>7</v>
      </c>
      <c r="B674" s="3">
        <v>671</v>
      </c>
      <c r="C674" s="3">
        <v>82</v>
      </c>
      <c r="D674" s="15">
        <v>32</v>
      </c>
      <c r="E674" s="1">
        <f t="shared" si="60"/>
        <v>0.83333333333333326</v>
      </c>
      <c r="F674">
        <f t="shared" si="61"/>
        <v>456.81038518518511</v>
      </c>
      <c r="G674">
        <f t="shared" si="62"/>
        <v>297.8338116339562</v>
      </c>
      <c r="I674">
        <f t="shared" si="63"/>
        <v>5.5555555555555556E-4</v>
      </c>
      <c r="J674">
        <f t="shared" si="64"/>
        <v>0.63445886831275711</v>
      </c>
      <c r="K674">
        <f t="shared" si="65"/>
        <v>0.71480114792149485</v>
      </c>
    </row>
    <row r="675" spans="1:11" x14ac:dyDescent="0.35">
      <c r="A675" s="3" t="s">
        <v>7</v>
      </c>
      <c r="B675" s="3">
        <v>672</v>
      </c>
      <c r="C675" s="3">
        <v>83</v>
      </c>
      <c r="D675" s="15">
        <v>34</v>
      </c>
      <c r="E675" s="1">
        <f t="shared" si="60"/>
        <v>0.55555555555555558</v>
      </c>
      <c r="F675">
        <f t="shared" si="61"/>
        <v>331.39539629629627</v>
      </c>
      <c r="G675">
        <f t="shared" si="62"/>
        <v>316.44842486107848</v>
      </c>
      <c r="I675">
        <f t="shared" si="63"/>
        <v>5.5555555555555556E-4</v>
      </c>
      <c r="J675">
        <f t="shared" si="64"/>
        <v>0.46027138374485593</v>
      </c>
      <c r="K675">
        <f t="shared" si="65"/>
        <v>0.7594762196665884</v>
      </c>
    </row>
    <row r="676" spans="1:11" x14ac:dyDescent="0.35">
      <c r="A676" s="3" t="s">
        <v>7</v>
      </c>
      <c r="B676" s="3">
        <v>673</v>
      </c>
      <c r="C676" s="3">
        <v>84</v>
      </c>
      <c r="D676" s="15">
        <v>36</v>
      </c>
      <c r="E676" s="1">
        <f t="shared" si="60"/>
        <v>0.55555555555555558</v>
      </c>
      <c r="F676">
        <f t="shared" si="61"/>
        <v>332.72293333333334</v>
      </c>
      <c r="G676">
        <f t="shared" si="62"/>
        <v>335.06303808820076</v>
      </c>
      <c r="I676">
        <f t="shared" si="63"/>
        <v>5.5555555555555556E-4</v>
      </c>
      <c r="J676">
        <f t="shared" si="64"/>
        <v>0.46211518518518518</v>
      </c>
      <c r="K676">
        <f t="shared" si="65"/>
        <v>0.80415129141168185</v>
      </c>
    </row>
    <row r="677" spans="1:11" x14ac:dyDescent="0.35">
      <c r="A677" s="3" t="s">
        <v>7</v>
      </c>
      <c r="B677" s="3">
        <v>674</v>
      </c>
      <c r="C677" s="3">
        <v>85</v>
      </c>
      <c r="D677" s="15">
        <v>38</v>
      </c>
      <c r="E677" s="1">
        <f t="shared" si="60"/>
        <v>0.55555555555555558</v>
      </c>
      <c r="F677">
        <f t="shared" si="61"/>
        <v>334.12632962962965</v>
      </c>
      <c r="G677">
        <f t="shared" si="62"/>
        <v>353.67765131532298</v>
      </c>
      <c r="I677">
        <f t="shared" si="63"/>
        <v>5.5555555555555556E-4</v>
      </c>
      <c r="J677">
        <f t="shared" si="64"/>
        <v>0.46406434670781899</v>
      </c>
      <c r="K677">
        <f t="shared" si="65"/>
        <v>0.84882636315677518</v>
      </c>
    </row>
    <row r="678" spans="1:11" x14ac:dyDescent="0.35">
      <c r="A678" s="3" t="s">
        <v>7</v>
      </c>
      <c r="B678" s="3">
        <v>675</v>
      </c>
      <c r="C678" s="3">
        <v>86</v>
      </c>
      <c r="D678" s="15">
        <v>40</v>
      </c>
      <c r="E678" s="1">
        <f t="shared" si="60"/>
        <v>0.31944444444444403</v>
      </c>
      <c r="F678">
        <f t="shared" si="61"/>
        <v>227.93891851851831</v>
      </c>
      <c r="G678">
        <f t="shared" si="62"/>
        <v>372.29226454244525</v>
      </c>
      <c r="I678">
        <f t="shared" si="63"/>
        <v>5.5555555555555556E-4</v>
      </c>
      <c r="J678">
        <f t="shared" si="64"/>
        <v>0.31658183127571987</v>
      </c>
      <c r="K678">
        <f t="shared" si="65"/>
        <v>0.89350143490186873</v>
      </c>
    </row>
    <row r="679" spans="1:11" x14ac:dyDescent="0.35">
      <c r="A679" s="3" t="s">
        <v>7</v>
      </c>
      <c r="B679" s="3">
        <v>676</v>
      </c>
      <c r="C679" s="3">
        <v>87</v>
      </c>
      <c r="D679" s="15">
        <v>40.299999999999997</v>
      </c>
      <c r="E679" s="1">
        <f t="shared" si="60"/>
        <v>6.9444444444444448E-2</v>
      </c>
      <c r="F679">
        <f t="shared" si="61"/>
        <v>114.16734971296296</v>
      </c>
      <c r="G679">
        <f t="shared" si="62"/>
        <v>375.08445652651363</v>
      </c>
      <c r="I679">
        <f t="shared" si="63"/>
        <v>5.5555555555555556E-4</v>
      </c>
      <c r="J679">
        <f t="shared" si="64"/>
        <v>0.15856576349022633</v>
      </c>
      <c r="K679">
        <f t="shared" si="65"/>
        <v>0.90020269566363276</v>
      </c>
    </row>
    <row r="680" spans="1:11" x14ac:dyDescent="0.35">
      <c r="A680" s="3" t="s">
        <v>7</v>
      </c>
      <c r="B680" s="3">
        <v>677</v>
      </c>
      <c r="C680" s="3">
        <v>88</v>
      </c>
      <c r="D680" s="15">
        <v>40.5</v>
      </c>
      <c r="E680" s="1">
        <f t="shared" si="60"/>
        <v>-0.18055555555555516</v>
      </c>
      <c r="F680">
        <f t="shared" si="61"/>
        <v>0.32058541666683815</v>
      </c>
      <c r="G680">
        <f t="shared" si="62"/>
        <v>376.94591784922585</v>
      </c>
      <c r="I680">
        <f t="shared" si="63"/>
        <v>5.5555555555555556E-4</v>
      </c>
      <c r="J680">
        <f t="shared" si="64"/>
        <v>4.4525752314838633E-4</v>
      </c>
      <c r="K680">
        <f t="shared" si="65"/>
        <v>0.90467020283814203</v>
      </c>
    </row>
    <row r="681" spans="1:11" x14ac:dyDescent="0.35">
      <c r="A681" s="3" t="s">
        <v>7</v>
      </c>
      <c r="B681" s="3">
        <v>678</v>
      </c>
      <c r="C681" s="3">
        <v>89</v>
      </c>
      <c r="D681" s="15">
        <v>39</v>
      </c>
      <c r="E681" s="1">
        <f t="shared" si="60"/>
        <v>-0.6666666666666663</v>
      </c>
      <c r="F681">
        <f t="shared" si="61"/>
        <v>0</v>
      </c>
      <c r="G681">
        <f t="shared" si="62"/>
        <v>362.98495792888411</v>
      </c>
      <c r="I681">
        <f t="shared" si="63"/>
        <v>5.5555555555555556E-4</v>
      </c>
      <c r="J681">
        <f t="shared" si="64"/>
        <v>0</v>
      </c>
      <c r="K681">
        <f t="shared" si="65"/>
        <v>0.8711638990293219</v>
      </c>
    </row>
    <row r="682" spans="1:11" x14ac:dyDescent="0.35">
      <c r="A682" s="3" t="s">
        <v>7</v>
      </c>
      <c r="B682" s="3">
        <v>679</v>
      </c>
      <c r="C682" s="3">
        <v>90</v>
      </c>
      <c r="D682" s="15">
        <v>35.700000000000003</v>
      </c>
      <c r="E682" s="1">
        <f t="shared" si="60"/>
        <v>-0.99999999999999989</v>
      </c>
      <c r="F682">
        <f t="shared" si="61"/>
        <v>0</v>
      </c>
      <c r="G682">
        <f t="shared" si="62"/>
        <v>332.27084610413237</v>
      </c>
      <c r="I682">
        <f t="shared" si="63"/>
        <v>5.5555555555555556E-4</v>
      </c>
      <c r="J682">
        <f t="shared" si="64"/>
        <v>0</v>
      </c>
      <c r="K682">
        <f t="shared" si="65"/>
        <v>0.79745003064991771</v>
      </c>
    </row>
    <row r="683" spans="1:11" x14ac:dyDescent="0.35">
      <c r="A683" s="3" t="s">
        <v>7</v>
      </c>
      <c r="B683" s="3">
        <v>680</v>
      </c>
      <c r="C683" s="3">
        <v>91</v>
      </c>
      <c r="D683" s="15">
        <v>31.8</v>
      </c>
      <c r="E683" s="1">
        <f t="shared" si="60"/>
        <v>-1.1944444444444446</v>
      </c>
      <c r="F683">
        <f t="shared" si="61"/>
        <v>0</v>
      </c>
      <c r="G683">
        <f t="shared" si="62"/>
        <v>295.97235031124399</v>
      </c>
      <c r="I683">
        <f t="shared" si="63"/>
        <v>5.5555555555555556E-4</v>
      </c>
      <c r="J683">
        <f t="shared" si="64"/>
        <v>0</v>
      </c>
      <c r="K683">
        <f t="shared" si="65"/>
        <v>0.71033364074698557</v>
      </c>
    </row>
    <row r="684" spans="1:11" x14ac:dyDescent="0.35">
      <c r="A684" s="3" t="s">
        <v>7</v>
      </c>
      <c r="B684" s="3">
        <v>681</v>
      </c>
      <c r="C684" s="3">
        <v>92</v>
      </c>
      <c r="D684" s="15">
        <v>27.1</v>
      </c>
      <c r="E684" s="1">
        <f t="shared" si="60"/>
        <v>-1.25</v>
      </c>
      <c r="F684">
        <f t="shared" si="61"/>
        <v>0</v>
      </c>
      <c r="G684">
        <f t="shared" si="62"/>
        <v>252.22800922750667</v>
      </c>
      <c r="I684">
        <f t="shared" si="63"/>
        <v>5.5555555555555556E-4</v>
      </c>
      <c r="J684">
        <f t="shared" si="64"/>
        <v>0</v>
      </c>
      <c r="K684">
        <f t="shared" si="65"/>
        <v>0.60534722214601611</v>
      </c>
    </row>
    <row r="685" spans="1:11" x14ac:dyDescent="0.35">
      <c r="A685" s="3" t="s">
        <v>7</v>
      </c>
      <c r="B685" s="3">
        <v>682</v>
      </c>
      <c r="C685" s="3">
        <v>93</v>
      </c>
      <c r="D685" s="15">
        <v>22.8</v>
      </c>
      <c r="E685" s="1">
        <f t="shared" si="60"/>
        <v>-0.83333333333333326</v>
      </c>
      <c r="F685">
        <f t="shared" si="61"/>
        <v>0</v>
      </c>
      <c r="G685">
        <f t="shared" si="62"/>
        <v>212.2065907891938</v>
      </c>
      <c r="I685">
        <f t="shared" si="63"/>
        <v>5.5555555555555556E-4</v>
      </c>
      <c r="J685">
        <f t="shared" si="64"/>
        <v>0</v>
      </c>
      <c r="K685">
        <f t="shared" si="65"/>
        <v>0.50929581789406519</v>
      </c>
    </row>
    <row r="686" spans="1:11" x14ac:dyDescent="0.35">
      <c r="A686" s="3" t="s">
        <v>7</v>
      </c>
      <c r="B686" s="3">
        <v>683</v>
      </c>
      <c r="C686" s="3">
        <v>94</v>
      </c>
      <c r="D686" s="15">
        <v>21.1</v>
      </c>
      <c r="E686" s="1">
        <f t="shared" si="60"/>
        <v>-0.54166666666666696</v>
      </c>
      <c r="F686">
        <f t="shared" si="61"/>
        <v>0</v>
      </c>
      <c r="G686">
        <f t="shared" si="62"/>
        <v>196.38416954613987</v>
      </c>
      <c r="I686">
        <f t="shared" si="63"/>
        <v>5.5555555555555556E-4</v>
      </c>
      <c r="J686">
        <f t="shared" si="64"/>
        <v>0</v>
      </c>
      <c r="K686">
        <f t="shared" si="65"/>
        <v>0.47132200691073572</v>
      </c>
    </row>
    <row r="687" spans="1:11" x14ac:dyDescent="0.35">
      <c r="A687" s="3" t="s">
        <v>7</v>
      </c>
      <c r="B687" s="3">
        <v>684</v>
      </c>
      <c r="C687" s="3">
        <v>95</v>
      </c>
      <c r="D687" s="15">
        <v>18.899999999999999</v>
      </c>
      <c r="E687" s="1">
        <f t="shared" si="60"/>
        <v>-0.30555555555555597</v>
      </c>
      <c r="F687">
        <f t="shared" si="61"/>
        <v>0</v>
      </c>
      <c r="G687">
        <f t="shared" si="62"/>
        <v>175.90809499630538</v>
      </c>
      <c r="I687">
        <f t="shared" si="63"/>
        <v>5.5555555555555556E-4</v>
      </c>
      <c r="J687">
        <f t="shared" si="64"/>
        <v>0</v>
      </c>
      <c r="K687">
        <f t="shared" si="65"/>
        <v>0.42217942799113295</v>
      </c>
    </row>
    <row r="688" spans="1:11" x14ac:dyDescent="0.35">
      <c r="A688" s="3" t="s">
        <v>7</v>
      </c>
      <c r="B688" s="3">
        <v>685</v>
      </c>
      <c r="C688" s="3">
        <v>96</v>
      </c>
      <c r="D688" s="15">
        <v>18.899999999999999</v>
      </c>
      <c r="E688" s="1">
        <f t="shared" si="60"/>
        <v>0.33333333333333365</v>
      </c>
      <c r="F688">
        <f t="shared" si="61"/>
        <v>222.4876107500001</v>
      </c>
      <c r="G688">
        <f t="shared" si="62"/>
        <v>175.90809499630538</v>
      </c>
      <c r="I688">
        <f t="shared" si="63"/>
        <v>5.5555555555555556E-4</v>
      </c>
      <c r="J688">
        <f t="shared" si="64"/>
        <v>0.30901057048611125</v>
      </c>
      <c r="K688">
        <f t="shared" si="65"/>
        <v>0.42217942799113295</v>
      </c>
    </row>
    <row r="689" spans="1:11" x14ac:dyDescent="0.35">
      <c r="A689" s="3" t="s">
        <v>7</v>
      </c>
      <c r="B689" s="3">
        <v>686</v>
      </c>
      <c r="C689" s="3">
        <v>97</v>
      </c>
      <c r="D689" s="15">
        <v>21.3</v>
      </c>
      <c r="E689" s="1">
        <f t="shared" si="60"/>
        <v>0.69444444444444442</v>
      </c>
      <c r="F689">
        <f t="shared" si="61"/>
        <v>388.06914008333331</v>
      </c>
      <c r="G689">
        <f t="shared" si="62"/>
        <v>198.24563086885212</v>
      </c>
      <c r="I689">
        <f t="shared" si="63"/>
        <v>5.5555555555555556E-4</v>
      </c>
      <c r="J689">
        <f t="shared" si="64"/>
        <v>0.53898491678240734</v>
      </c>
      <c r="K689">
        <f t="shared" si="65"/>
        <v>0.47578951408524511</v>
      </c>
    </row>
    <row r="690" spans="1:11" x14ac:dyDescent="0.35">
      <c r="A690" s="3" t="s">
        <v>7</v>
      </c>
      <c r="B690" s="3">
        <v>687</v>
      </c>
      <c r="C690" s="3">
        <v>98</v>
      </c>
      <c r="D690" s="15">
        <v>23.9</v>
      </c>
      <c r="E690" s="1">
        <f t="shared" si="60"/>
        <v>0.63888888888888862</v>
      </c>
      <c r="F690">
        <f t="shared" si="61"/>
        <v>363.85017926851833</v>
      </c>
      <c r="G690">
        <f t="shared" si="62"/>
        <v>222.44462806411104</v>
      </c>
      <c r="I690">
        <f t="shared" si="63"/>
        <v>5.5555555555555556E-4</v>
      </c>
      <c r="J690">
        <f t="shared" si="64"/>
        <v>0.50534747120627543</v>
      </c>
      <c r="K690">
        <f t="shared" si="65"/>
        <v>0.53386710735386655</v>
      </c>
    </row>
    <row r="691" spans="1:11" x14ac:dyDescent="0.35">
      <c r="A691" s="3" t="s">
        <v>7</v>
      </c>
      <c r="B691" s="3">
        <v>688</v>
      </c>
      <c r="C691" s="3">
        <v>99</v>
      </c>
      <c r="D691" s="15">
        <v>25.9</v>
      </c>
      <c r="E691" s="1">
        <f t="shared" si="60"/>
        <v>0.625</v>
      </c>
      <c r="F691">
        <f t="shared" si="61"/>
        <v>358.46129371296297</v>
      </c>
      <c r="G691">
        <f t="shared" si="62"/>
        <v>241.05924129123332</v>
      </c>
      <c r="I691">
        <f t="shared" si="63"/>
        <v>5.5555555555555556E-4</v>
      </c>
      <c r="J691">
        <f t="shared" si="64"/>
        <v>0.49786290793467081</v>
      </c>
      <c r="K691">
        <f t="shared" si="65"/>
        <v>0.57854217909896</v>
      </c>
    </row>
    <row r="692" spans="1:11" x14ac:dyDescent="0.35">
      <c r="A692" s="3" t="s">
        <v>7</v>
      </c>
      <c r="B692" s="3">
        <v>689</v>
      </c>
      <c r="C692" s="3">
        <v>100</v>
      </c>
      <c r="D692" s="15">
        <v>28.4</v>
      </c>
      <c r="E692" s="1">
        <f t="shared" si="60"/>
        <v>0.61111111111111138</v>
      </c>
      <c r="F692">
        <f t="shared" si="61"/>
        <v>353.41519718518521</v>
      </c>
      <c r="G692">
        <f t="shared" si="62"/>
        <v>264.32750782513614</v>
      </c>
      <c r="I692">
        <f t="shared" si="63"/>
        <v>5.5555555555555556E-4</v>
      </c>
      <c r="J692">
        <f t="shared" si="64"/>
        <v>0.49085444053497945</v>
      </c>
      <c r="K692">
        <f t="shared" si="65"/>
        <v>0.63438601878032674</v>
      </c>
    </row>
    <row r="693" spans="1:11" x14ac:dyDescent="0.35">
      <c r="A693" s="3" t="s">
        <v>7</v>
      </c>
      <c r="B693" s="3">
        <v>690</v>
      </c>
      <c r="C693" s="3">
        <v>101</v>
      </c>
      <c r="D693" s="15">
        <v>30.3</v>
      </c>
      <c r="E693" s="1">
        <f t="shared" si="60"/>
        <v>0.34722222222222221</v>
      </c>
      <c r="F693">
        <f t="shared" si="61"/>
        <v>234.13943674999999</v>
      </c>
      <c r="G693">
        <f t="shared" si="62"/>
        <v>282.01139039090231</v>
      </c>
      <c r="I693">
        <f t="shared" si="63"/>
        <v>5.5555555555555556E-4</v>
      </c>
      <c r="J693">
        <f t="shared" si="64"/>
        <v>0.32519366215277778</v>
      </c>
      <c r="K693">
        <f t="shared" si="65"/>
        <v>0.67682733693816555</v>
      </c>
    </row>
    <row r="694" spans="1:11" x14ac:dyDescent="0.35">
      <c r="A694" s="3" t="s">
        <v>7</v>
      </c>
      <c r="B694" s="3">
        <v>691</v>
      </c>
      <c r="C694" s="3">
        <v>102</v>
      </c>
      <c r="D694" s="15">
        <v>30.9</v>
      </c>
      <c r="E694" s="1">
        <f t="shared" si="60"/>
        <v>0.1111111111111112</v>
      </c>
      <c r="F694">
        <f t="shared" si="61"/>
        <v>126.82096408333334</v>
      </c>
      <c r="G694">
        <f t="shared" si="62"/>
        <v>287.59577435903896</v>
      </c>
      <c r="I694">
        <f t="shared" si="63"/>
        <v>5.5555555555555556E-4</v>
      </c>
      <c r="J694">
        <f t="shared" si="64"/>
        <v>0.17614022789351852</v>
      </c>
      <c r="K694">
        <f t="shared" si="65"/>
        <v>0.69022985846169349</v>
      </c>
    </row>
    <row r="695" spans="1:11" x14ac:dyDescent="0.35">
      <c r="A695" s="3" t="s">
        <v>7</v>
      </c>
      <c r="B695" s="3">
        <v>692</v>
      </c>
      <c r="C695" s="3">
        <v>103</v>
      </c>
      <c r="D695" s="15">
        <v>31.1</v>
      </c>
      <c r="E695" s="1">
        <f t="shared" si="60"/>
        <v>0.12500000000000031</v>
      </c>
      <c r="F695">
        <f t="shared" si="61"/>
        <v>133.27187926851866</v>
      </c>
      <c r="G695">
        <f t="shared" si="62"/>
        <v>289.45723568175117</v>
      </c>
      <c r="I695">
        <f t="shared" si="63"/>
        <v>5.5555555555555556E-4</v>
      </c>
      <c r="J695">
        <f t="shared" si="64"/>
        <v>0.18509983231738703</v>
      </c>
      <c r="K695">
        <f t="shared" si="65"/>
        <v>0.69469736563620288</v>
      </c>
    </row>
    <row r="696" spans="1:11" x14ac:dyDescent="0.35">
      <c r="A696" s="3" t="s">
        <v>7</v>
      </c>
      <c r="B696" s="3">
        <v>693</v>
      </c>
      <c r="C696" s="3">
        <v>104</v>
      </c>
      <c r="D696" s="15">
        <v>31.8</v>
      </c>
      <c r="E696" s="1">
        <f t="shared" si="60"/>
        <v>0.2222222222222224</v>
      </c>
      <c r="F696">
        <f t="shared" si="61"/>
        <v>178.02272300000007</v>
      </c>
      <c r="G696">
        <f t="shared" si="62"/>
        <v>295.97235031124399</v>
      </c>
      <c r="I696">
        <f t="shared" si="63"/>
        <v>5.5555555555555556E-4</v>
      </c>
      <c r="J696">
        <f t="shared" si="64"/>
        <v>0.24725378194444453</v>
      </c>
      <c r="K696">
        <f t="shared" si="65"/>
        <v>0.71033364074698557</v>
      </c>
    </row>
    <row r="697" spans="1:11" x14ac:dyDescent="0.35">
      <c r="A697" s="3" t="s">
        <v>7</v>
      </c>
      <c r="B697" s="3">
        <v>694</v>
      </c>
      <c r="C697" s="3">
        <v>105</v>
      </c>
      <c r="D697" s="15">
        <v>32.700000000000003</v>
      </c>
      <c r="E697" s="1">
        <f t="shared" si="60"/>
        <v>0.19444444444444473</v>
      </c>
      <c r="F697">
        <f t="shared" si="61"/>
        <v>165.90651008333347</v>
      </c>
      <c r="G697">
        <f t="shared" si="62"/>
        <v>304.34892626344902</v>
      </c>
      <c r="I697">
        <f t="shared" si="63"/>
        <v>5.5555555555555556E-4</v>
      </c>
      <c r="J697">
        <f t="shared" si="64"/>
        <v>0.23042570844907426</v>
      </c>
      <c r="K697">
        <f t="shared" si="65"/>
        <v>0.73043742303227766</v>
      </c>
    </row>
    <row r="698" spans="1:11" x14ac:dyDescent="0.35">
      <c r="A698" s="3" t="s">
        <v>7</v>
      </c>
      <c r="B698" s="3">
        <v>695</v>
      </c>
      <c r="C698" s="3">
        <v>106</v>
      </c>
      <c r="D698" s="15">
        <v>33.200000000000003</v>
      </c>
      <c r="E698" s="1">
        <f t="shared" si="60"/>
        <v>-4.1666666666667261E-2</v>
      </c>
      <c r="F698">
        <f t="shared" si="61"/>
        <v>58.552288740740465</v>
      </c>
      <c r="G698">
        <f t="shared" si="62"/>
        <v>309.00257957022961</v>
      </c>
      <c r="I698">
        <f t="shared" si="63"/>
        <v>5.5555555555555556E-4</v>
      </c>
      <c r="J698">
        <f t="shared" si="64"/>
        <v>8.1322623251028431E-2</v>
      </c>
      <c r="K698">
        <f t="shared" si="65"/>
        <v>0.74160619096855107</v>
      </c>
    </row>
    <row r="699" spans="1:11" x14ac:dyDescent="0.35">
      <c r="A699" s="3" t="s">
        <v>7</v>
      </c>
      <c r="B699" s="3">
        <v>696</v>
      </c>
      <c r="C699" s="3">
        <v>107</v>
      </c>
      <c r="D699" s="15">
        <v>32.4</v>
      </c>
      <c r="E699" s="1">
        <f t="shared" si="60"/>
        <v>-0.6805555555555558</v>
      </c>
      <c r="F699">
        <f t="shared" si="61"/>
        <v>0</v>
      </c>
      <c r="G699">
        <f t="shared" si="62"/>
        <v>301.55673427938069</v>
      </c>
      <c r="I699">
        <f t="shared" si="63"/>
        <v>5.5555555555555556E-4</v>
      </c>
      <c r="J699">
        <f t="shared" si="64"/>
        <v>0</v>
      </c>
      <c r="K699">
        <f t="shared" si="65"/>
        <v>0.72373616227051374</v>
      </c>
    </row>
    <row r="700" spans="1:11" x14ac:dyDescent="0.35">
      <c r="A700" s="3" t="s">
        <v>7</v>
      </c>
      <c r="B700" s="3">
        <v>697</v>
      </c>
      <c r="C700" s="3">
        <v>108</v>
      </c>
      <c r="D700" s="15">
        <v>28.3</v>
      </c>
      <c r="E700" s="1">
        <f t="shared" si="60"/>
        <v>-0.9166666666666663</v>
      </c>
      <c r="F700">
        <f t="shared" si="61"/>
        <v>0</v>
      </c>
      <c r="G700">
        <f t="shared" si="62"/>
        <v>263.39677716378003</v>
      </c>
      <c r="I700">
        <f t="shared" si="63"/>
        <v>5.5555555555555556E-4</v>
      </c>
      <c r="J700">
        <f t="shared" si="64"/>
        <v>0</v>
      </c>
      <c r="K700">
        <f t="shared" si="65"/>
        <v>0.6321522651930721</v>
      </c>
    </row>
    <row r="701" spans="1:11" x14ac:dyDescent="0.35">
      <c r="A701" s="3" t="s">
        <v>7</v>
      </c>
      <c r="B701" s="3">
        <v>698</v>
      </c>
      <c r="C701" s="3">
        <v>109</v>
      </c>
      <c r="D701" s="15">
        <v>25.8</v>
      </c>
      <c r="E701" s="1">
        <f t="shared" si="60"/>
        <v>-0.7222222222222221</v>
      </c>
      <c r="F701">
        <f t="shared" si="61"/>
        <v>0</v>
      </c>
      <c r="G701">
        <f t="shared" si="62"/>
        <v>240.12851062987718</v>
      </c>
      <c r="I701">
        <f t="shared" si="63"/>
        <v>5.5555555555555556E-4</v>
      </c>
      <c r="J701">
        <f t="shared" si="64"/>
        <v>0</v>
      </c>
      <c r="K701">
        <f t="shared" si="65"/>
        <v>0.57630842551170525</v>
      </c>
    </row>
    <row r="702" spans="1:11" x14ac:dyDescent="0.35">
      <c r="A702" s="3" t="s">
        <v>7</v>
      </c>
      <c r="B702" s="3">
        <v>699</v>
      </c>
      <c r="C702" s="3">
        <v>110</v>
      </c>
      <c r="D702" s="15">
        <v>23.1</v>
      </c>
      <c r="E702" s="1">
        <f t="shared" si="60"/>
        <v>-0.55555555555555558</v>
      </c>
      <c r="F702">
        <f t="shared" si="61"/>
        <v>0</v>
      </c>
      <c r="G702">
        <f t="shared" si="62"/>
        <v>214.99878277326215</v>
      </c>
      <c r="I702">
        <f t="shared" si="63"/>
        <v>5.5555555555555556E-4</v>
      </c>
      <c r="J702">
        <f t="shared" si="64"/>
        <v>0</v>
      </c>
      <c r="K702">
        <f t="shared" si="65"/>
        <v>0.51599707865582911</v>
      </c>
    </row>
    <row r="703" spans="1:11" x14ac:dyDescent="0.35">
      <c r="A703" s="3" t="s">
        <v>7</v>
      </c>
      <c r="B703" s="3">
        <v>700</v>
      </c>
      <c r="C703" s="3">
        <v>111</v>
      </c>
      <c r="D703" s="15">
        <v>21.8</v>
      </c>
      <c r="E703" s="1">
        <f t="shared" si="60"/>
        <v>-0.26388888888888917</v>
      </c>
      <c r="F703">
        <f t="shared" si="61"/>
        <v>0</v>
      </c>
      <c r="G703">
        <f t="shared" si="62"/>
        <v>202.89928417563266</v>
      </c>
      <c r="I703">
        <f t="shared" si="63"/>
        <v>5.5555555555555556E-4</v>
      </c>
      <c r="J703">
        <f t="shared" si="64"/>
        <v>0</v>
      </c>
      <c r="K703">
        <f t="shared" si="65"/>
        <v>0.48695828202151842</v>
      </c>
    </row>
    <row r="704" spans="1:11" x14ac:dyDescent="0.35">
      <c r="A704" s="3" t="s">
        <v>7</v>
      </c>
      <c r="B704" s="3">
        <v>701</v>
      </c>
      <c r="C704" s="3">
        <v>112</v>
      </c>
      <c r="D704" s="15">
        <v>21.2</v>
      </c>
      <c r="E704" s="1">
        <f t="shared" si="60"/>
        <v>-0.1111111111111112</v>
      </c>
      <c r="F704">
        <f t="shared" si="61"/>
        <v>20.695506518518478</v>
      </c>
      <c r="G704">
        <f t="shared" si="62"/>
        <v>197.31490020749598</v>
      </c>
      <c r="I704">
        <f t="shared" si="63"/>
        <v>5.5555555555555556E-4</v>
      </c>
      <c r="J704">
        <f t="shared" si="64"/>
        <v>2.8743759053497887E-2</v>
      </c>
      <c r="K704">
        <f t="shared" si="65"/>
        <v>0.47355576049799036</v>
      </c>
    </row>
    <row r="705" spans="1:11" x14ac:dyDescent="0.35">
      <c r="A705" s="3" t="s">
        <v>7</v>
      </c>
      <c r="B705" s="3">
        <v>702</v>
      </c>
      <c r="C705" s="3">
        <v>113</v>
      </c>
      <c r="D705" s="15">
        <v>21</v>
      </c>
      <c r="E705" s="1">
        <f t="shared" si="60"/>
        <v>-2.7777777777777679E-2</v>
      </c>
      <c r="F705">
        <f t="shared" si="61"/>
        <v>58.615475000000039</v>
      </c>
      <c r="G705">
        <f t="shared" si="62"/>
        <v>195.45343888478376</v>
      </c>
      <c r="I705">
        <f t="shared" si="63"/>
        <v>5.5555555555555556E-4</v>
      </c>
      <c r="J705">
        <f t="shared" si="64"/>
        <v>8.1410381944444499E-2</v>
      </c>
      <c r="K705">
        <f t="shared" si="65"/>
        <v>0.46908825332348103</v>
      </c>
    </row>
    <row r="706" spans="1:11" x14ac:dyDescent="0.35">
      <c r="A706" s="3" t="s">
        <v>7</v>
      </c>
      <c r="B706" s="3">
        <v>703</v>
      </c>
      <c r="C706" s="3">
        <v>114</v>
      </c>
      <c r="D706" s="15">
        <v>21</v>
      </c>
      <c r="E706" s="1">
        <f t="shared" si="60"/>
        <v>-1.3888888888889086E-2</v>
      </c>
      <c r="F706">
        <f t="shared" si="61"/>
        <v>64.948808333333233</v>
      </c>
      <c r="G706">
        <f t="shared" si="62"/>
        <v>195.45343888478376</v>
      </c>
      <c r="I706">
        <f t="shared" si="63"/>
        <v>5.5555555555555556E-4</v>
      </c>
      <c r="J706">
        <f t="shared" si="64"/>
        <v>9.0206678240740606E-2</v>
      </c>
      <c r="K706">
        <f t="shared" si="65"/>
        <v>0.46908825332348103</v>
      </c>
    </row>
    <row r="707" spans="1:11" x14ac:dyDescent="0.35">
      <c r="A707" s="3" t="s">
        <v>7</v>
      </c>
      <c r="B707" s="3">
        <v>704</v>
      </c>
      <c r="C707" s="3">
        <v>115</v>
      </c>
      <c r="D707" s="15">
        <v>20.9</v>
      </c>
      <c r="E707" s="1">
        <f t="shared" si="60"/>
        <v>-0.15277777777777798</v>
      </c>
      <c r="F707">
        <f t="shared" si="61"/>
        <v>1.5757437129628697</v>
      </c>
      <c r="G707">
        <f t="shared" si="62"/>
        <v>194.52270822342766</v>
      </c>
      <c r="I707">
        <f t="shared" si="63"/>
        <v>5.5555555555555556E-4</v>
      </c>
      <c r="J707">
        <f t="shared" si="64"/>
        <v>2.1885329346706525E-3</v>
      </c>
      <c r="K707">
        <f t="shared" si="65"/>
        <v>0.46685449973622639</v>
      </c>
    </row>
    <row r="708" spans="1:11" x14ac:dyDescent="0.35">
      <c r="A708" s="3" t="s">
        <v>7</v>
      </c>
      <c r="B708" s="3">
        <v>705</v>
      </c>
      <c r="C708" s="3">
        <v>116</v>
      </c>
      <c r="D708" s="15">
        <v>19.899999999999999</v>
      </c>
      <c r="E708" s="1">
        <f t="shared" si="60"/>
        <v>-0.41666666666666663</v>
      </c>
      <c r="F708">
        <f t="shared" si="61"/>
        <v>0</v>
      </c>
      <c r="G708">
        <f t="shared" si="62"/>
        <v>185.21540160986652</v>
      </c>
      <c r="I708">
        <f t="shared" si="63"/>
        <v>5.5555555555555556E-4</v>
      </c>
      <c r="J708">
        <f t="shared" si="64"/>
        <v>0</v>
      </c>
      <c r="K708">
        <f t="shared" si="65"/>
        <v>0.44451696386367961</v>
      </c>
    </row>
    <row r="709" spans="1:11" x14ac:dyDescent="0.35">
      <c r="A709" s="3" t="s">
        <v>7</v>
      </c>
      <c r="B709" s="3">
        <v>706</v>
      </c>
      <c r="C709" s="3">
        <v>117</v>
      </c>
      <c r="D709" s="15">
        <v>17.899999999999999</v>
      </c>
      <c r="E709" s="1">
        <f t="shared" ref="E709:E772" si="66">($D710-$D708)/2/3.6</f>
        <v>-0.66666666666666652</v>
      </c>
      <c r="F709">
        <f t="shared" ref="F709:F772" si="67">IF(D709=0,0,MAX(0,0.285*(1600*E709 + 1600*9.81*0.015 + 0.5*1.225*0.32*2.2*(D709/3.6)^2)))</f>
        <v>0</v>
      </c>
      <c r="G709">
        <f t="shared" ref="G709:G772" si="68">60*D709/(2*PI()*3.6*0.285)</f>
        <v>166.60078838274427</v>
      </c>
      <c r="I709">
        <f t="shared" ref="I709:I772" si="69">1/1800</f>
        <v>5.5555555555555556E-4</v>
      </c>
      <c r="J709">
        <f t="shared" ref="J709:J772" si="70">F709/(M$3*3.6)</f>
        <v>0</v>
      </c>
      <c r="K709">
        <f t="shared" ref="K709:K772" si="71">G709*3.6/N$3</f>
        <v>0.39984189211858628</v>
      </c>
    </row>
    <row r="710" spans="1:11" x14ac:dyDescent="0.35">
      <c r="A710" s="3" t="s">
        <v>7</v>
      </c>
      <c r="B710" s="3">
        <v>707</v>
      </c>
      <c r="C710" s="3">
        <v>118</v>
      </c>
      <c r="D710" s="15">
        <v>15.1</v>
      </c>
      <c r="E710" s="1">
        <f t="shared" si="66"/>
        <v>-0.70833333333333304</v>
      </c>
      <c r="F710">
        <f t="shared" si="67"/>
        <v>0</v>
      </c>
      <c r="G710">
        <f t="shared" si="68"/>
        <v>140.5403298647731</v>
      </c>
      <c r="I710">
        <f t="shared" si="69"/>
        <v>5.5555555555555556E-4</v>
      </c>
      <c r="J710">
        <f t="shared" si="70"/>
        <v>0</v>
      </c>
      <c r="K710">
        <f t="shared" si="71"/>
        <v>0.33729679167545545</v>
      </c>
    </row>
    <row r="711" spans="1:11" x14ac:dyDescent="0.35">
      <c r="A711" s="3" t="s">
        <v>7</v>
      </c>
      <c r="B711" s="3">
        <v>708</v>
      </c>
      <c r="C711" s="3">
        <v>119</v>
      </c>
      <c r="D711" s="15">
        <v>12.8</v>
      </c>
      <c r="E711" s="1">
        <f t="shared" si="66"/>
        <v>-0.43055555555555547</v>
      </c>
      <c r="F711">
        <f t="shared" si="67"/>
        <v>0</v>
      </c>
      <c r="G711">
        <f t="shared" si="68"/>
        <v>119.13352465358248</v>
      </c>
      <c r="I711">
        <f t="shared" si="69"/>
        <v>5.5555555555555556E-4</v>
      </c>
      <c r="J711">
        <f t="shared" si="70"/>
        <v>0</v>
      </c>
      <c r="K711">
        <f t="shared" si="71"/>
        <v>0.28592045916859798</v>
      </c>
    </row>
    <row r="712" spans="1:11" x14ac:dyDescent="0.35">
      <c r="A712" s="3" t="s">
        <v>7</v>
      </c>
      <c r="B712" s="3">
        <v>709</v>
      </c>
      <c r="C712" s="3">
        <v>120</v>
      </c>
      <c r="D712" s="15">
        <v>12</v>
      </c>
      <c r="E712" s="1">
        <f t="shared" si="66"/>
        <v>5.5555555555555358E-2</v>
      </c>
      <c r="F712">
        <f t="shared" si="67"/>
        <v>93.7991999999999</v>
      </c>
      <c r="G712">
        <f t="shared" si="68"/>
        <v>111.68767936273358</v>
      </c>
      <c r="I712">
        <f t="shared" si="69"/>
        <v>5.5555555555555556E-4</v>
      </c>
      <c r="J712">
        <f t="shared" si="70"/>
        <v>0.13027666666666654</v>
      </c>
      <c r="K712">
        <f t="shared" si="71"/>
        <v>0.2680504304705606</v>
      </c>
    </row>
    <row r="713" spans="1:11" x14ac:dyDescent="0.35">
      <c r="A713" s="3" t="s">
        <v>7</v>
      </c>
      <c r="B713" s="3">
        <v>710</v>
      </c>
      <c r="C713" s="3">
        <v>121</v>
      </c>
      <c r="D713" s="15">
        <v>13.2</v>
      </c>
      <c r="E713" s="1">
        <f t="shared" si="66"/>
        <v>0.70833333333333348</v>
      </c>
      <c r="F713">
        <f t="shared" si="67"/>
        <v>391.75261466666672</v>
      </c>
      <c r="G713">
        <f t="shared" si="68"/>
        <v>122.85644729900694</v>
      </c>
      <c r="I713">
        <f t="shared" si="69"/>
        <v>5.5555555555555556E-4</v>
      </c>
      <c r="J713">
        <f t="shared" si="70"/>
        <v>0.54410085370370376</v>
      </c>
      <c r="K713">
        <f t="shared" si="71"/>
        <v>0.29485547351761665</v>
      </c>
    </row>
    <row r="714" spans="1:11" x14ac:dyDescent="0.35">
      <c r="A714" s="3" t="s">
        <v>7</v>
      </c>
      <c r="B714" s="3">
        <v>711</v>
      </c>
      <c r="C714" s="3">
        <v>122</v>
      </c>
      <c r="D714" s="15">
        <v>17.100000000000001</v>
      </c>
      <c r="E714" s="1">
        <f t="shared" si="66"/>
        <v>1.0972222222222225</v>
      </c>
      <c r="F714">
        <f t="shared" si="67"/>
        <v>570.20648408333341</v>
      </c>
      <c r="G714">
        <f t="shared" si="68"/>
        <v>159.15494309189535</v>
      </c>
      <c r="I714">
        <f t="shared" si="69"/>
        <v>5.5555555555555556E-4</v>
      </c>
      <c r="J714">
        <f t="shared" si="70"/>
        <v>0.79195345011574081</v>
      </c>
      <c r="K714">
        <f t="shared" si="71"/>
        <v>0.38197186342054884</v>
      </c>
    </row>
    <row r="715" spans="1:11" x14ac:dyDescent="0.35">
      <c r="A715" s="3" t="s">
        <v>7</v>
      </c>
      <c r="B715" s="3">
        <v>712</v>
      </c>
      <c r="C715" s="3">
        <v>123</v>
      </c>
      <c r="D715" s="15">
        <v>21.1</v>
      </c>
      <c r="E715" s="1">
        <f t="shared" si="66"/>
        <v>0.65277777777777768</v>
      </c>
      <c r="F715">
        <f t="shared" si="67"/>
        <v>368.98872926851845</v>
      </c>
      <c r="G715">
        <f t="shared" si="68"/>
        <v>196.38416954613987</v>
      </c>
      <c r="I715">
        <f t="shared" si="69"/>
        <v>5.5555555555555556E-4</v>
      </c>
      <c r="J715">
        <f t="shared" si="70"/>
        <v>0.51248434620627559</v>
      </c>
      <c r="K715">
        <f t="shared" si="71"/>
        <v>0.47132200691073572</v>
      </c>
    </row>
    <row r="716" spans="1:11" x14ac:dyDescent="0.35">
      <c r="A716" s="3" t="s">
        <v>7</v>
      </c>
      <c r="B716" s="3">
        <v>713</v>
      </c>
      <c r="C716" s="3">
        <v>124</v>
      </c>
      <c r="D716" s="15">
        <v>21.8</v>
      </c>
      <c r="E716" s="1">
        <f t="shared" si="66"/>
        <v>1.3888888888888593E-2</v>
      </c>
      <c r="F716">
        <f t="shared" si="67"/>
        <v>77.940152629629495</v>
      </c>
      <c r="G716">
        <f t="shared" si="68"/>
        <v>202.89928417563266</v>
      </c>
      <c r="I716">
        <f t="shared" si="69"/>
        <v>5.5555555555555556E-4</v>
      </c>
      <c r="J716">
        <f t="shared" si="70"/>
        <v>0.10825021198559652</v>
      </c>
      <c r="K716">
        <f t="shared" si="71"/>
        <v>0.48695828202151842</v>
      </c>
    </row>
    <row r="717" spans="1:11" x14ac:dyDescent="0.35">
      <c r="A717" s="3" t="s">
        <v>7</v>
      </c>
      <c r="B717" s="3">
        <v>714</v>
      </c>
      <c r="C717" s="3">
        <v>125</v>
      </c>
      <c r="D717" s="15">
        <v>21.2</v>
      </c>
      <c r="E717" s="1">
        <f t="shared" si="66"/>
        <v>-0.45833333333333343</v>
      </c>
      <c r="F717">
        <f t="shared" si="67"/>
        <v>0</v>
      </c>
      <c r="G717">
        <f t="shared" si="68"/>
        <v>197.31490020749598</v>
      </c>
      <c r="I717">
        <f t="shared" si="69"/>
        <v>5.5555555555555556E-4</v>
      </c>
      <c r="J717">
        <f t="shared" si="70"/>
        <v>0</v>
      </c>
      <c r="K717">
        <f t="shared" si="71"/>
        <v>0.47355576049799036</v>
      </c>
    </row>
    <row r="718" spans="1:11" x14ac:dyDescent="0.35">
      <c r="A718" s="3" t="s">
        <v>7</v>
      </c>
      <c r="B718" s="3">
        <v>715</v>
      </c>
      <c r="C718" s="3">
        <v>126</v>
      </c>
      <c r="D718" s="15">
        <v>18.5</v>
      </c>
      <c r="E718" s="1">
        <f t="shared" si="66"/>
        <v>-1.0138888888888886</v>
      </c>
      <c r="F718">
        <f t="shared" si="67"/>
        <v>0</v>
      </c>
      <c r="G718">
        <f t="shared" si="68"/>
        <v>172.18517235088095</v>
      </c>
      <c r="I718">
        <f t="shared" si="69"/>
        <v>5.5555555555555556E-4</v>
      </c>
      <c r="J718">
        <f t="shared" si="70"/>
        <v>0</v>
      </c>
      <c r="K718">
        <f t="shared" si="71"/>
        <v>0.41324441364211428</v>
      </c>
    </row>
    <row r="719" spans="1:11" x14ac:dyDescent="0.35">
      <c r="A719" s="3" t="s">
        <v>7</v>
      </c>
      <c r="B719" s="3">
        <v>716</v>
      </c>
      <c r="C719" s="3">
        <v>127</v>
      </c>
      <c r="D719" s="15">
        <v>13.9</v>
      </c>
      <c r="E719" s="1">
        <f t="shared" si="66"/>
        <v>-0.90277777777777779</v>
      </c>
      <c r="F719">
        <f t="shared" si="67"/>
        <v>0</v>
      </c>
      <c r="G719">
        <f t="shared" si="68"/>
        <v>129.37156192849974</v>
      </c>
      <c r="I719">
        <f t="shared" si="69"/>
        <v>5.5555555555555556E-4</v>
      </c>
      <c r="J719">
        <f t="shared" si="70"/>
        <v>0</v>
      </c>
      <c r="K719">
        <f t="shared" si="71"/>
        <v>0.3104917486283994</v>
      </c>
    </row>
    <row r="720" spans="1:11" x14ac:dyDescent="0.35">
      <c r="A720" s="3" t="s">
        <v>7</v>
      </c>
      <c r="B720" s="3">
        <v>717</v>
      </c>
      <c r="C720" s="3">
        <v>128</v>
      </c>
      <c r="D720" s="15">
        <v>12</v>
      </c>
      <c r="E720" s="1">
        <f t="shared" si="66"/>
        <v>-0.26388888888888895</v>
      </c>
      <c r="F720">
        <f t="shared" si="67"/>
        <v>0</v>
      </c>
      <c r="G720">
        <f t="shared" si="68"/>
        <v>111.68767936273358</v>
      </c>
      <c r="I720">
        <f t="shared" si="69"/>
        <v>5.5555555555555556E-4</v>
      </c>
      <c r="J720">
        <f t="shared" si="70"/>
        <v>0</v>
      </c>
      <c r="K720">
        <f t="shared" si="71"/>
        <v>0.2680504304705606</v>
      </c>
    </row>
    <row r="721" spans="1:11" x14ac:dyDescent="0.35">
      <c r="A721" s="3" t="s">
        <v>7</v>
      </c>
      <c r="B721" s="3">
        <v>718</v>
      </c>
      <c r="C721" s="3">
        <v>129</v>
      </c>
      <c r="D721" s="15">
        <v>12</v>
      </c>
      <c r="E721" s="1">
        <f t="shared" si="66"/>
        <v>0.1388888888888889</v>
      </c>
      <c r="F721">
        <f t="shared" si="67"/>
        <v>131.79919999999998</v>
      </c>
      <c r="G721">
        <f t="shared" si="68"/>
        <v>111.68767936273358</v>
      </c>
      <c r="I721">
        <f t="shared" si="69"/>
        <v>5.5555555555555556E-4</v>
      </c>
      <c r="J721">
        <f t="shared" si="70"/>
        <v>0.18305444444444444</v>
      </c>
      <c r="K721">
        <f t="shared" si="71"/>
        <v>0.2680504304705606</v>
      </c>
    </row>
    <row r="722" spans="1:11" x14ac:dyDescent="0.35">
      <c r="A722" s="3" t="s">
        <v>7</v>
      </c>
      <c r="B722" s="3">
        <v>719</v>
      </c>
      <c r="C722" s="3">
        <v>130</v>
      </c>
      <c r="D722" s="15">
        <v>13</v>
      </c>
      <c r="E722" s="1">
        <f t="shared" si="66"/>
        <v>0.55555555555555558</v>
      </c>
      <c r="F722">
        <f t="shared" si="67"/>
        <v>322.0362601851852</v>
      </c>
      <c r="G722">
        <f t="shared" si="68"/>
        <v>120.99498597629471</v>
      </c>
      <c r="I722">
        <f t="shared" si="69"/>
        <v>5.5555555555555556E-4</v>
      </c>
      <c r="J722">
        <f t="shared" si="70"/>
        <v>0.44727258359053501</v>
      </c>
      <c r="K722">
        <f t="shared" si="71"/>
        <v>0.29038796634310732</v>
      </c>
    </row>
    <row r="723" spans="1:11" x14ac:dyDescent="0.35">
      <c r="A723" s="3" t="s">
        <v>7</v>
      </c>
      <c r="B723" s="3">
        <v>720</v>
      </c>
      <c r="C723" s="3">
        <v>131</v>
      </c>
      <c r="D723" s="15">
        <v>16</v>
      </c>
      <c r="E723" s="1">
        <f t="shared" si="66"/>
        <v>0.76388888888888884</v>
      </c>
      <c r="F723">
        <f t="shared" si="67"/>
        <v>417.86122962962963</v>
      </c>
      <c r="G723">
        <f t="shared" si="68"/>
        <v>148.9169058169781</v>
      </c>
      <c r="I723">
        <f t="shared" si="69"/>
        <v>5.5555555555555556E-4</v>
      </c>
      <c r="J723">
        <f t="shared" si="70"/>
        <v>0.58036281893004116</v>
      </c>
      <c r="K723">
        <f t="shared" si="71"/>
        <v>0.35740057396074743</v>
      </c>
    </row>
    <row r="724" spans="1:11" x14ac:dyDescent="0.35">
      <c r="A724" s="3" t="s">
        <v>7</v>
      </c>
      <c r="B724" s="3">
        <v>721</v>
      </c>
      <c r="C724" s="3">
        <v>132</v>
      </c>
      <c r="D724" s="15">
        <v>18.5</v>
      </c>
      <c r="E724" s="1">
        <f t="shared" si="66"/>
        <v>0.63888888888888906</v>
      </c>
      <c r="F724">
        <f t="shared" si="67"/>
        <v>361.67908726851851</v>
      </c>
      <c r="G724">
        <f t="shared" si="68"/>
        <v>172.18517235088095</v>
      </c>
      <c r="I724">
        <f t="shared" si="69"/>
        <v>5.5555555555555556E-4</v>
      </c>
      <c r="J724">
        <f t="shared" si="70"/>
        <v>0.50233206565072019</v>
      </c>
      <c r="K724">
        <f t="shared" si="71"/>
        <v>0.41324441364211428</v>
      </c>
    </row>
    <row r="725" spans="1:11" x14ac:dyDescent="0.35">
      <c r="A725" s="3" t="s">
        <v>7</v>
      </c>
      <c r="B725" s="3">
        <v>722</v>
      </c>
      <c r="C725" s="3">
        <v>133</v>
      </c>
      <c r="D725" s="15">
        <v>20.6</v>
      </c>
      <c r="E725" s="1">
        <f t="shared" si="66"/>
        <v>0.55555555555555558</v>
      </c>
      <c r="F725">
        <f t="shared" si="67"/>
        <v>324.45768774074071</v>
      </c>
      <c r="G725">
        <f t="shared" si="68"/>
        <v>191.7305162393593</v>
      </c>
      <c r="I725">
        <f t="shared" si="69"/>
        <v>5.5555555555555556E-4</v>
      </c>
      <c r="J725">
        <f t="shared" si="70"/>
        <v>0.45063567741769545</v>
      </c>
      <c r="K725">
        <f t="shared" si="71"/>
        <v>0.46015323897446236</v>
      </c>
    </row>
    <row r="726" spans="1:11" x14ac:dyDescent="0.35">
      <c r="A726" s="3" t="s">
        <v>7</v>
      </c>
      <c r="B726" s="3">
        <v>723</v>
      </c>
      <c r="C726" s="3">
        <v>134</v>
      </c>
      <c r="D726" s="15">
        <v>22.5</v>
      </c>
      <c r="E726" s="1">
        <f t="shared" si="66"/>
        <v>0.47222222222222199</v>
      </c>
      <c r="F726">
        <f t="shared" si="67"/>
        <v>287.23420208333323</v>
      </c>
      <c r="G726">
        <f t="shared" si="68"/>
        <v>209.41439880512547</v>
      </c>
      <c r="I726">
        <f t="shared" si="69"/>
        <v>5.5555555555555556E-4</v>
      </c>
      <c r="J726">
        <f t="shared" si="70"/>
        <v>0.39893639178240725</v>
      </c>
      <c r="K726">
        <f t="shared" si="71"/>
        <v>0.50259455713230117</v>
      </c>
    </row>
    <row r="727" spans="1:11" x14ac:dyDescent="0.35">
      <c r="A727" s="3" t="s">
        <v>7</v>
      </c>
      <c r="B727" s="3">
        <v>724</v>
      </c>
      <c r="C727" s="3">
        <v>135</v>
      </c>
      <c r="D727" s="15">
        <v>24</v>
      </c>
      <c r="E727" s="1">
        <f t="shared" si="66"/>
        <v>0.56944444444444464</v>
      </c>
      <c r="F727">
        <f t="shared" si="67"/>
        <v>332.22893333333337</v>
      </c>
      <c r="G727">
        <f t="shared" si="68"/>
        <v>223.37535872546715</v>
      </c>
      <c r="I727">
        <f t="shared" si="69"/>
        <v>5.5555555555555556E-4</v>
      </c>
      <c r="J727">
        <f t="shared" si="70"/>
        <v>0.46142907407407413</v>
      </c>
      <c r="K727">
        <f t="shared" si="71"/>
        <v>0.53610086094112119</v>
      </c>
    </row>
    <row r="728" spans="1:11" x14ac:dyDescent="0.35">
      <c r="A728" s="3" t="s">
        <v>7</v>
      </c>
      <c r="B728" s="3">
        <v>725</v>
      </c>
      <c r="C728" s="3">
        <v>136</v>
      </c>
      <c r="D728" s="15">
        <v>26.6</v>
      </c>
      <c r="E728" s="1">
        <f t="shared" si="66"/>
        <v>0.8194444444444442</v>
      </c>
      <c r="F728">
        <f t="shared" si="67"/>
        <v>447.4764388518517</v>
      </c>
      <c r="G728">
        <f t="shared" si="68"/>
        <v>247.57435592072611</v>
      </c>
      <c r="I728">
        <f t="shared" si="69"/>
        <v>5.5555555555555556E-4</v>
      </c>
      <c r="J728">
        <f t="shared" si="70"/>
        <v>0.6214950539609051</v>
      </c>
      <c r="K728">
        <f t="shared" si="71"/>
        <v>0.59417845420974269</v>
      </c>
    </row>
    <row r="729" spans="1:11" x14ac:dyDescent="0.35">
      <c r="A729" s="3" t="s">
        <v>7</v>
      </c>
      <c r="B729" s="3">
        <v>726</v>
      </c>
      <c r="C729" s="3">
        <v>137</v>
      </c>
      <c r="D729" s="15">
        <v>29.9</v>
      </c>
      <c r="E729" s="1">
        <f t="shared" si="66"/>
        <v>1.1388888888888882</v>
      </c>
      <c r="F729">
        <f t="shared" si="67"/>
        <v>594.91110037962926</v>
      </c>
      <c r="G729">
        <f t="shared" si="68"/>
        <v>278.28846774547782</v>
      </c>
      <c r="I729">
        <f t="shared" si="69"/>
        <v>5.5555555555555556E-4</v>
      </c>
      <c r="J729">
        <f t="shared" si="70"/>
        <v>0.82626541719392954</v>
      </c>
      <c r="K729">
        <f t="shared" si="71"/>
        <v>0.66789232258914677</v>
      </c>
    </row>
    <row r="730" spans="1:11" x14ac:dyDescent="0.35">
      <c r="A730" s="3" t="s">
        <v>7</v>
      </c>
      <c r="B730" s="3">
        <v>727</v>
      </c>
      <c r="C730" s="3">
        <v>138</v>
      </c>
      <c r="D730" s="15">
        <v>34.799999999999997</v>
      </c>
      <c r="E730" s="1">
        <f t="shared" si="66"/>
        <v>1.0972222222222221</v>
      </c>
      <c r="F730">
        <f t="shared" si="67"/>
        <v>578.91730799999993</v>
      </c>
      <c r="G730">
        <f t="shared" si="68"/>
        <v>323.8942701519274</v>
      </c>
      <c r="I730">
        <f t="shared" si="69"/>
        <v>5.5555555555555556E-4</v>
      </c>
      <c r="J730">
        <f t="shared" si="70"/>
        <v>0.80405181666666659</v>
      </c>
      <c r="K730">
        <f t="shared" si="71"/>
        <v>0.77734624836462585</v>
      </c>
    </row>
    <row r="731" spans="1:11" x14ac:dyDescent="0.35">
      <c r="A731" s="3" t="s">
        <v>7</v>
      </c>
      <c r="B731" s="3">
        <v>728</v>
      </c>
      <c r="C731" s="3">
        <v>139</v>
      </c>
      <c r="D731" s="15">
        <v>37.799999999999997</v>
      </c>
      <c r="E731" s="1">
        <f t="shared" si="66"/>
        <v>0.75000000000000078</v>
      </c>
      <c r="F731">
        <f t="shared" si="67"/>
        <v>422.6492430000003</v>
      </c>
      <c r="G731">
        <f t="shared" si="68"/>
        <v>351.81618999261076</v>
      </c>
      <c r="I731">
        <f t="shared" si="69"/>
        <v>5.5555555555555556E-4</v>
      </c>
      <c r="J731">
        <f t="shared" si="70"/>
        <v>0.58701283750000044</v>
      </c>
      <c r="K731">
        <f t="shared" si="71"/>
        <v>0.8443588559822659</v>
      </c>
    </row>
    <row r="732" spans="1:11" x14ac:dyDescent="0.35">
      <c r="A732" s="3" t="s">
        <v>7</v>
      </c>
      <c r="B732" s="3">
        <v>729</v>
      </c>
      <c r="C732" s="3">
        <v>140</v>
      </c>
      <c r="D732" s="15">
        <v>40.200000000000003</v>
      </c>
      <c r="E732" s="1">
        <f t="shared" si="66"/>
        <v>0.52777777777777835</v>
      </c>
      <c r="F732">
        <f t="shared" si="67"/>
        <v>323.09101633333358</v>
      </c>
      <c r="G732">
        <f t="shared" si="68"/>
        <v>374.15372586515747</v>
      </c>
      <c r="I732">
        <f t="shared" si="69"/>
        <v>5.5555555555555556E-4</v>
      </c>
      <c r="J732">
        <f t="shared" si="70"/>
        <v>0.44873752268518552</v>
      </c>
      <c r="K732">
        <f t="shared" si="71"/>
        <v>0.89796894207637801</v>
      </c>
    </row>
    <row r="733" spans="1:11" x14ac:dyDescent="0.35">
      <c r="A733" s="3" t="s">
        <v>7</v>
      </c>
      <c r="B733" s="3">
        <v>730</v>
      </c>
      <c r="C733" s="3">
        <v>141</v>
      </c>
      <c r="D733" s="15">
        <v>41.6</v>
      </c>
      <c r="E733" s="1">
        <f t="shared" si="66"/>
        <v>0.23611111111111052</v>
      </c>
      <c r="F733">
        <f t="shared" si="67"/>
        <v>191.17694162962934</v>
      </c>
      <c r="G733">
        <f t="shared" si="68"/>
        <v>387.1839551241431</v>
      </c>
      <c r="I733">
        <f t="shared" si="69"/>
        <v>5.5555555555555556E-4</v>
      </c>
      <c r="J733">
        <f t="shared" si="70"/>
        <v>0.26552353004115187</v>
      </c>
      <c r="K733">
        <f t="shared" si="71"/>
        <v>0.92924149229794339</v>
      </c>
    </row>
    <row r="734" spans="1:11" x14ac:dyDescent="0.35">
      <c r="A734" s="3" t="s">
        <v>7</v>
      </c>
      <c r="B734" s="3">
        <v>731</v>
      </c>
      <c r="C734" s="3">
        <v>142</v>
      </c>
      <c r="D734" s="15">
        <v>41.9</v>
      </c>
      <c r="E734" s="1">
        <f t="shared" si="66"/>
        <v>5.5555555555555358E-2</v>
      </c>
      <c r="F734">
        <f t="shared" si="67"/>
        <v>109.08114260185175</v>
      </c>
      <c r="G734">
        <f t="shared" si="68"/>
        <v>389.97614710821142</v>
      </c>
      <c r="I734">
        <f t="shared" si="69"/>
        <v>5.5555555555555556E-4</v>
      </c>
      <c r="J734">
        <f t="shared" si="70"/>
        <v>0.15150158694701632</v>
      </c>
      <c r="K734">
        <f t="shared" si="71"/>
        <v>0.93594275305970742</v>
      </c>
    </row>
    <row r="735" spans="1:11" x14ac:dyDescent="0.35">
      <c r="A735" s="3" t="s">
        <v>7</v>
      </c>
      <c r="B735" s="3">
        <v>732</v>
      </c>
      <c r="C735" s="3">
        <v>143</v>
      </c>
      <c r="D735" s="15">
        <v>42</v>
      </c>
      <c r="E735" s="1">
        <f t="shared" si="66"/>
        <v>4.1666666666667261E-2</v>
      </c>
      <c r="F735">
        <f t="shared" si="67"/>
        <v>102.82736666666693</v>
      </c>
      <c r="G735">
        <f t="shared" si="68"/>
        <v>390.90687776956753</v>
      </c>
      <c r="I735">
        <f t="shared" si="69"/>
        <v>5.5555555555555556E-4</v>
      </c>
      <c r="J735">
        <f t="shared" si="70"/>
        <v>0.1428157870370374</v>
      </c>
      <c r="K735">
        <f t="shared" si="71"/>
        <v>0.93817650664696206</v>
      </c>
    </row>
    <row r="736" spans="1:11" x14ac:dyDescent="0.35">
      <c r="A736" s="3" t="s">
        <v>7</v>
      </c>
      <c r="B736" s="3">
        <v>733</v>
      </c>
      <c r="C736" s="3">
        <v>144</v>
      </c>
      <c r="D736" s="15">
        <v>42.2</v>
      </c>
      <c r="E736" s="1">
        <f t="shared" si="66"/>
        <v>5.5555555555555358E-2</v>
      </c>
      <c r="F736">
        <f t="shared" si="67"/>
        <v>109.32038374074064</v>
      </c>
      <c r="G736">
        <f t="shared" si="68"/>
        <v>392.76833909227975</v>
      </c>
      <c r="I736">
        <f t="shared" si="69"/>
        <v>5.5555555555555556E-4</v>
      </c>
      <c r="J736">
        <f t="shared" si="70"/>
        <v>0.15183386630658421</v>
      </c>
      <c r="K736">
        <f t="shared" si="71"/>
        <v>0.94264401382147145</v>
      </c>
    </row>
    <row r="737" spans="1:11" x14ac:dyDescent="0.35">
      <c r="A737" s="3" t="s">
        <v>7</v>
      </c>
      <c r="B737" s="3">
        <v>734</v>
      </c>
      <c r="C737" s="3">
        <v>145</v>
      </c>
      <c r="D737" s="15">
        <v>42.4</v>
      </c>
      <c r="E737" s="1">
        <f t="shared" si="66"/>
        <v>6.9444444444444448E-2</v>
      </c>
      <c r="F737">
        <f t="shared" si="67"/>
        <v>115.8141594074074</v>
      </c>
      <c r="G737">
        <f t="shared" si="68"/>
        <v>394.62980041499196</v>
      </c>
      <c r="I737">
        <f t="shared" si="69"/>
        <v>5.5555555555555556E-4</v>
      </c>
      <c r="J737">
        <f t="shared" si="70"/>
        <v>0.16085299917695473</v>
      </c>
      <c r="K737">
        <f t="shared" si="71"/>
        <v>0.94711152099598073</v>
      </c>
    </row>
    <row r="738" spans="1:11" x14ac:dyDescent="0.35">
      <c r="A738" s="3" t="s">
        <v>7</v>
      </c>
      <c r="B738" s="3">
        <v>735</v>
      </c>
      <c r="C738" s="3">
        <v>146</v>
      </c>
      <c r="D738" s="15">
        <v>42.7</v>
      </c>
      <c r="E738" s="1">
        <f t="shared" si="66"/>
        <v>9.7222222222222612E-2</v>
      </c>
      <c r="F738">
        <f t="shared" si="67"/>
        <v>128.72291193518535</v>
      </c>
      <c r="G738">
        <f t="shared" si="68"/>
        <v>397.42199239906034</v>
      </c>
      <c r="I738">
        <f t="shared" si="69"/>
        <v>5.5555555555555556E-4</v>
      </c>
      <c r="J738">
        <f t="shared" si="70"/>
        <v>0.17878182213220187</v>
      </c>
      <c r="K738">
        <f t="shared" si="71"/>
        <v>0.95381278175774487</v>
      </c>
    </row>
    <row r="739" spans="1:11" x14ac:dyDescent="0.35">
      <c r="A739" s="3" t="s">
        <v>7</v>
      </c>
      <c r="B739" s="3">
        <v>736</v>
      </c>
      <c r="C739" s="3">
        <v>147</v>
      </c>
      <c r="D739" s="15">
        <v>43.1</v>
      </c>
      <c r="E739" s="1">
        <f t="shared" si="66"/>
        <v>0.1388888888888889</v>
      </c>
      <c r="F739">
        <f t="shared" si="67"/>
        <v>148.04834815740739</v>
      </c>
      <c r="G739">
        <f t="shared" si="68"/>
        <v>401.14491504448478</v>
      </c>
      <c r="I739">
        <f t="shared" si="69"/>
        <v>5.5555555555555556E-4</v>
      </c>
      <c r="J739">
        <f t="shared" si="70"/>
        <v>0.20562270577417693</v>
      </c>
      <c r="K739">
        <f t="shared" si="71"/>
        <v>0.96274779610676342</v>
      </c>
    </row>
    <row r="740" spans="1:11" x14ac:dyDescent="0.35">
      <c r="A740" s="3" t="s">
        <v>7</v>
      </c>
      <c r="B740" s="3">
        <v>737</v>
      </c>
      <c r="C740" s="3">
        <v>148</v>
      </c>
      <c r="D740" s="15">
        <v>43.7</v>
      </c>
      <c r="E740" s="1">
        <f t="shared" si="66"/>
        <v>0.12499999999999981</v>
      </c>
      <c r="F740">
        <f t="shared" si="67"/>
        <v>142.20885860185174</v>
      </c>
      <c r="G740">
        <f t="shared" si="68"/>
        <v>406.72929901262148</v>
      </c>
      <c r="I740">
        <f t="shared" si="69"/>
        <v>5.5555555555555556E-4</v>
      </c>
      <c r="J740">
        <f t="shared" si="70"/>
        <v>0.19751230361368297</v>
      </c>
      <c r="K740">
        <f t="shared" si="71"/>
        <v>0.97615031763029159</v>
      </c>
    </row>
    <row r="741" spans="1:11" x14ac:dyDescent="0.35">
      <c r="A741" s="3" t="s">
        <v>7</v>
      </c>
      <c r="B741" s="3">
        <v>738</v>
      </c>
      <c r="C741" s="3">
        <v>149</v>
      </c>
      <c r="D741" s="15">
        <v>44</v>
      </c>
      <c r="E741" s="1">
        <f t="shared" si="66"/>
        <v>5.5555555555555358E-2</v>
      </c>
      <c r="F741">
        <f t="shared" si="67"/>
        <v>110.79167407407398</v>
      </c>
      <c r="G741">
        <f t="shared" si="68"/>
        <v>409.52149099668981</v>
      </c>
      <c r="I741">
        <f t="shared" si="69"/>
        <v>5.5555555555555556E-4</v>
      </c>
      <c r="J741">
        <f t="shared" si="70"/>
        <v>0.15387732510288052</v>
      </c>
      <c r="K741">
        <f t="shared" si="71"/>
        <v>0.9828515783920555</v>
      </c>
    </row>
    <row r="742" spans="1:11" x14ac:dyDescent="0.35">
      <c r="A742" s="3" t="s">
        <v>7</v>
      </c>
      <c r="B742" s="3">
        <v>739</v>
      </c>
      <c r="C742" s="3">
        <v>150</v>
      </c>
      <c r="D742" s="15">
        <v>44.1</v>
      </c>
      <c r="E742" s="1">
        <f t="shared" si="66"/>
        <v>0.18055555555555516</v>
      </c>
      <c r="F742">
        <f t="shared" si="67"/>
        <v>167.87521408333316</v>
      </c>
      <c r="G742">
        <f t="shared" si="68"/>
        <v>410.45222165804591</v>
      </c>
      <c r="I742">
        <f t="shared" si="69"/>
        <v>5.5555555555555556E-4</v>
      </c>
      <c r="J742">
        <f t="shared" si="70"/>
        <v>0.23316001956018495</v>
      </c>
      <c r="K742">
        <f t="shared" si="71"/>
        <v>0.98508533197931014</v>
      </c>
    </row>
    <row r="743" spans="1:11" x14ac:dyDescent="0.35">
      <c r="A743" s="3" t="s">
        <v>7</v>
      </c>
      <c r="B743" s="3">
        <v>740</v>
      </c>
      <c r="C743" s="3">
        <v>151</v>
      </c>
      <c r="D743" s="15">
        <v>45.3</v>
      </c>
      <c r="E743" s="1">
        <f t="shared" si="66"/>
        <v>0.31944444444444403</v>
      </c>
      <c r="F743">
        <f t="shared" si="67"/>
        <v>232.2258200833331</v>
      </c>
      <c r="G743">
        <f t="shared" si="68"/>
        <v>421.62098959431927</v>
      </c>
      <c r="I743">
        <f t="shared" si="69"/>
        <v>5.5555555555555556E-4</v>
      </c>
      <c r="J743">
        <f t="shared" si="70"/>
        <v>0.32253586122685152</v>
      </c>
      <c r="K743">
        <f t="shared" si="71"/>
        <v>1.0118903750263661</v>
      </c>
    </row>
    <row r="744" spans="1:11" x14ac:dyDescent="0.35">
      <c r="A744" s="3" t="s">
        <v>7</v>
      </c>
      <c r="B744" s="3">
        <v>741</v>
      </c>
      <c r="C744" s="3">
        <v>152</v>
      </c>
      <c r="D744" s="15">
        <v>46.4</v>
      </c>
      <c r="E744" s="1">
        <f t="shared" si="66"/>
        <v>0.26388888888888967</v>
      </c>
      <c r="F744">
        <f t="shared" si="67"/>
        <v>207.84897718518553</v>
      </c>
      <c r="G744">
        <f t="shared" si="68"/>
        <v>431.85902686923652</v>
      </c>
      <c r="I744">
        <f t="shared" si="69"/>
        <v>5.5555555555555556E-4</v>
      </c>
      <c r="J744">
        <f t="shared" si="70"/>
        <v>0.28867913497942432</v>
      </c>
      <c r="K744">
        <f t="shared" si="71"/>
        <v>1.0364616644861675</v>
      </c>
    </row>
    <row r="745" spans="1:11" x14ac:dyDescent="0.35">
      <c r="A745" s="3" t="s">
        <v>7</v>
      </c>
      <c r="B745" s="3">
        <v>742</v>
      </c>
      <c r="C745" s="3">
        <v>153</v>
      </c>
      <c r="D745" s="15">
        <v>47.2</v>
      </c>
      <c r="E745" s="1">
        <f t="shared" si="66"/>
        <v>0.12499999999999981</v>
      </c>
      <c r="F745">
        <f t="shared" si="67"/>
        <v>145.22568651851842</v>
      </c>
      <c r="G745">
        <f t="shared" si="68"/>
        <v>439.30487216008544</v>
      </c>
      <c r="I745">
        <f t="shared" si="69"/>
        <v>5.5555555555555556E-4</v>
      </c>
      <c r="J745">
        <f t="shared" si="70"/>
        <v>0.20170234238683113</v>
      </c>
      <c r="K745">
        <f t="shared" si="71"/>
        <v>1.0543316931842051</v>
      </c>
    </row>
    <row r="746" spans="1:11" x14ac:dyDescent="0.35">
      <c r="A746" s="3" t="s">
        <v>7</v>
      </c>
      <c r="B746" s="3">
        <v>743</v>
      </c>
      <c r="C746" s="3">
        <v>154</v>
      </c>
      <c r="D746" s="15">
        <v>47.3</v>
      </c>
      <c r="E746" s="1">
        <f t="shared" si="66"/>
        <v>2.7777777777777186E-2</v>
      </c>
      <c r="F746">
        <f t="shared" si="67"/>
        <v>100.98196193518491</v>
      </c>
      <c r="G746">
        <f t="shared" si="68"/>
        <v>440.23560282144155</v>
      </c>
      <c r="I746">
        <f t="shared" si="69"/>
        <v>5.5555555555555556E-4</v>
      </c>
      <c r="J746">
        <f t="shared" si="70"/>
        <v>0.14025272490997903</v>
      </c>
      <c r="K746">
        <f t="shared" si="71"/>
        <v>1.0565654467714598</v>
      </c>
    </row>
    <row r="747" spans="1:11" x14ac:dyDescent="0.35">
      <c r="A747" s="3" t="s">
        <v>7</v>
      </c>
      <c r="B747" s="3">
        <v>744</v>
      </c>
      <c r="C747" s="3">
        <v>155</v>
      </c>
      <c r="D747" s="15">
        <v>47.4</v>
      </c>
      <c r="E747" s="1">
        <f t="shared" si="66"/>
        <v>1.3888888888889086E-2</v>
      </c>
      <c r="F747">
        <f t="shared" si="67"/>
        <v>94.738427000000073</v>
      </c>
      <c r="G747">
        <f t="shared" si="68"/>
        <v>441.16633348279765</v>
      </c>
      <c r="I747">
        <f t="shared" si="69"/>
        <v>5.5555555555555556E-4</v>
      </c>
      <c r="J747">
        <f t="shared" si="70"/>
        <v>0.1315811486111112</v>
      </c>
      <c r="K747">
        <f t="shared" si="71"/>
        <v>1.0587992003587143</v>
      </c>
    </row>
    <row r="748" spans="1:11" x14ac:dyDescent="0.35">
      <c r="A748" s="3" t="s">
        <v>7</v>
      </c>
      <c r="B748" s="3">
        <v>745</v>
      </c>
      <c r="C748" s="3">
        <v>156</v>
      </c>
      <c r="D748" s="15">
        <v>47.4</v>
      </c>
      <c r="E748" s="1">
        <f t="shared" si="66"/>
        <v>1.3888888888889086E-2</v>
      </c>
      <c r="F748">
        <f t="shared" si="67"/>
        <v>94.738427000000073</v>
      </c>
      <c r="G748">
        <f t="shared" si="68"/>
        <v>441.16633348279765</v>
      </c>
      <c r="I748">
        <f t="shared" si="69"/>
        <v>5.5555555555555556E-4</v>
      </c>
      <c r="J748">
        <f t="shared" si="70"/>
        <v>0.1315811486111112</v>
      </c>
      <c r="K748">
        <f t="shared" si="71"/>
        <v>1.0587992003587143</v>
      </c>
    </row>
    <row r="749" spans="1:11" x14ac:dyDescent="0.35">
      <c r="A749" s="3" t="s">
        <v>7</v>
      </c>
      <c r="B749" s="3">
        <v>746</v>
      </c>
      <c r="C749" s="3">
        <v>157</v>
      </c>
      <c r="D749" s="15">
        <v>47.5</v>
      </c>
      <c r="E749" s="1">
        <f t="shared" si="66"/>
        <v>6.9444444444444448E-2</v>
      </c>
      <c r="F749">
        <f t="shared" si="67"/>
        <v>120.16174837962963</v>
      </c>
      <c r="G749">
        <f t="shared" si="68"/>
        <v>442.09706414415376</v>
      </c>
      <c r="I749">
        <f t="shared" si="69"/>
        <v>5.5555555555555556E-4</v>
      </c>
      <c r="J749">
        <f t="shared" si="70"/>
        <v>0.16689131719393005</v>
      </c>
      <c r="K749">
        <f t="shared" si="71"/>
        <v>1.0610329539459691</v>
      </c>
    </row>
    <row r="750" spans="1:11" x14ac:dyDescent="0.35">
      <c r="A750" s="3" t="s">
        <v>7</v>
      </c>
      <c r="B750" s="3">
        <v>747</v>
      </c>
      <c r="C750" s="3">
        <v>158</v>
      </c>
      <c r="D750" s="15">
        <v>47.9</v>
      </c>
      <c r="E750" s="1">
        <f t="shared" si="66"/>
        <v>0.15277777777777798</v>
      </c>
      <c r="F750">
        <f t="shared" si="67"/>
        <v>158.52359704629637</v>
      </c>
      <c r="G750">
        <f t="shared" si="68"/>
        <v>445.81998678957819</v>
      </c>
      <c r="I750">
        <f t="shared" si="69"/>
        <v>5.5555555555555556E-4</v>
      </c>
      <c r="J750">
        <f t="shared" si="70"/>
        <v>0.22017166256430051</v>
      </c>
      <c r="K750">
        <f t="shared" si="71"/>
        <v>1.0699679682949876</v>
      </c>
    </row>
    <row r="751" spans="1:11" x14ac:dyDescent="0.35">
      <c r="A751" s="3" t="s">
        <v>7</v>
      </c>
      <c r="B751" s="3">
        <v>748</v>
      </c>
      <c r="C751" s="3">
        <v>159</v>
      </c>
      <c r="D751" s="15">
        <v>48.6</v>
      </c>
      <c r="E751" s="1">
        <f t="shared" si="66"/>
        <v>0.20833333333333331</v>
      </c>
      <c r="F751">
        <f t="shared" si="67"/>
        <v>184.49746699999997</v>
      </c>
      <c r="G751">
        <f t="shared" si="68"/>
        <v>452.33510141907101</v>
      </c>
      <c r="I751">
        <f t="shared" si="69"/>
        <v>5.5555555555555556E-4</v>
      </c>
      <c r="J751">
        <f t="shared" si="70"/>
        <v>0.25624648194444438</v>
      </c>
      <c r="K751">
        <f t="shared" si="71"/>
        <v>1.0856042434057704</v>
      </c>
    </row>
    <row r="752" spans="1:11" x14ac:dyDescent="0.35">
      <c r="A752" s="3" t="s">
        <v>7</v>
      </c>
      <c r="B752" s="3">
        <v>749</v>
      </c>
      <c r="C752" s="3">
        <v>160</v>
      </c>
      <c r="D752" s="15">
        <v>49.4</v>
      </c>
      <c r="E752" s="1">
        <f t="shared" si="66"/>
        <v>0.16666666666666607</v>
      </c>
      <c r="F752">
        <f t="shared" si="67"/>
        <v>166.24088774074045</v>
      </c>
      <c r="G752">
        <f t="shared" si="68"/>
        <v>459.78094670991993</v>
      </c>
      <c r="I752">
        <f t="shared" si="69"/>
        <v>5.5555555555555556E-4</v>
      </c>
      <c r="J752">
        <f t="shared" si="70"/>
        <v>0.2308901218621395</v>
      </c>
      <c r="K752">
        <f t="shared" si="71"/>
        <v>1.1034742721038078</v>
      </c>
    </row>
    <row r="753" spans="1:11" x14ac:dyDescent="0.35">
      <c r="A753" s="3" t="s">
        <v>7</v>
      </c>
      <c r="B753" s="3">
        <v>750</v>
      </c>
      <c r="C753" s="3">
        <v>161</v>
      </c>
      <c r="D753" s="15">
        <v>49.8</v>
      </c>
      <c r="E753" s="1">
        <f t="shared" si="66"/>
        <v>5.5555555555555358E-2</v>
      </c>
      <c r="F753">
        <f t="shared" si="67"/>
        <v>115.95048299999989</v>
      </c>
      <c r="G753">
        <f t="shared" si="68"/>
        <v>463.50386935534436</v>
      </c>
      <c r="I753">
        <f t="shared" si="69"/>
        <v>5.5555555555555556E-4</v>
      </c>
      <c r="J753">
        <f t="shared" si="70"/>
        <v>0.16104233749999985</v>
      </c>
      <c r="K753">
        <f t="shared" si="71"/>
        <v>1.1124092864528266</v>
      </c>
    </row>
    <row r="754" spans="1:11" x14ac:dyDescent="0.35">
      <c r="A754" s="3" t="s">
        <v>7</v>
      </c>
      <c r="B754" s="3">
        <v>751</v>
      </c>
      <c r="C754" s="3">
        <v>162</v>
      </c>
      <c r="D754" s="15">
        <v>49.8</v>
      </c>
      <c r="E754" s="1">
        <f t="shared" si="66"/>
        <v>-1.3888888888888099E-2</v>
      </c>
      <c r="F754">
        <f t="shared" si="67"/>
        <v>84.283816333333689</v>
      </c>
      <c r="G754">
        <f t="shared" si="68"/>
        <v>463.50386935534436</v>
      </c>
      <c r="I754">
        <f t="shared" si="69"/>
        <v>5.5555555555555556E-4</v>
      </c>
      <c r="J754">
        <f t="shared" si="70"/>
        <v>0.11706085601851901</v>
      </c>
      <c r="K754">
        <f t="shared" si="71"/>
        <v>1.1124092864528266</v>
      </c>
    </row>
    <row r="755" spans="1:11" x14ac:dyDescent="0.35">
      <c r="A755" s="3" t="s">
        <v>7</v>
      </c>
      <c r="B755" s="3">
        <v>752</v>
      </c>
      <c r="C755" s="3">
        <v>163</v>
      </c>
      <c r="D755" s="15">
        <v>49.7</v>
      </c>
      <c r="E755" s="1">
        <f t="shared" si="66"/>
        <v>-6.9444444444444448E-2</v>
      </c>
      <c r="F755">
        <f t="shared" si="67"/>
        <v>58.856133046296293</v>
      </c>
      <c r="G755">
        <f t="shared" si="68"/>
        <v>462.57313869398826</v>
      </c>
      <c r="I755">
        <f t="shared" si="69"/>
        <v>5.5555555555555556E-4</v>
      </c>
      <c r="J755">
        <f t="shared" si="70"/>
        <v>8.1744629230967078E-2</v>
      </c>
      <c r="K755">
        <f t="shared" si="71"/>
        <v>1.1101755328655718</v>
      </c>
    </row>
    <row r="756" spans="1:11" x14ac:dyDescent="0.35">
      <c r="A756" s="3" t="s">
        <v>7</v>
      </c>
      <c r="B756" s="3">
        <v>753</v>
      </c>
      <c r="C756" s="3">
        <v>164</v>
      </c>
      <c r="D756" s="15">
        <v>49.3</v>
      </c>
      <c r="E756" s="1">
        <f t="shared" si="66"/>
        <v>-0.16666666666666705</v>
      </c>
      <c r="F756">
        <f t="shared" si="67"/>
        <v>14.147296379629456</v>
      </c>
      <c r="G756">
        <f t="shared" si="68"/>
        <v>458.85021604856377</v>
      </c>
      <c r="I756">
        <f t="shared" si="69"/>
        <v>5.5555555555555556E-4</v>
      </c>
      <c r="J756">
        <f t="shared" si="70"/>
        <v>1.9649022749485354E-2</v>
      </c>
      <c r="K756">
        <f t="shared" si="71"/>
        <v>1.101240518516553</v>
      </c>
    </row>
    <row r="757" spans="1:11" x14ac:dyDescent="0.35">
      <c r="A757" s="3" t="s">
        <v>7</v>
      </c>
      <c r="B757" s="3">
        <v>754</v>
      </c>
      <c r="C757" s="3">
        <v>165</v>
      </c>
      <c r="D757" s="15">
        <v>48.5</v>
      </c>
      <c r="E757" s="1">
        <f t="shared" si="66"/>
        <v>-0.23611111111111052</v>
      </c>
      <c r="F757">
        <f t="shared" si="67"/>
        <v>0</v>
      </c>
      <c r="G757">
        <f t="shared" si="68"/>
        <v>451.4043707577149</v>
      </c>
      <c r="I757">
        <f t="shared" si="69"/>
        <v>5.5555555555555556E-4</v>
      </c>
      <c r="J757">
        <f t="shared" si="70"/>
        <v>0</v>
      </c>
      <c r="K757">
        <f t="shared" si="71"/>
        <v>1.0833704898185157</v>
      </c>
    </row>
    <row r="758" spans="1:11" x14ac:dyDescent="0.35">
      <c r="A758" s="3" t="s">
        <v>7</v>
      </c>
      <c r="B758" s="3">
        <v>755</v>
      </c>
      <c r="C758" s="3">
        <v>166</v>
      </c>
      <c r="D758" s="15">
        <v>47.6</v>
      </c>
      <c r="E758" s="1">
        <f t="shared" si="66"/>
        <v>-0.30555555555555597</v>
      </c>
      <c r="F758">
        <f t="shared" si="67"/>
        <v>0</v>
      </c>
      <c r="G758">
        <f t="shared" si="68"/>
        <v>443.02779480550987</v>
      </c>
      <c r="I758">
        <f t="shared" si="69"/>
        <v>5.5555555555555556E-4</v>
      </c>
      <c r="J758">
        <f t="shared" si="70"/>
        <v>0</v>
      </c>
      <c r="K758">
        <f t="shared" si="71"/>
        <v>1.0632667075332238</v>
      </c>
    </row>
    <row r="759" spans="1:11" x14ac:dyDescent="0.35">
      <c r="A759" s="3" t="s">
        <v>7</v>
      </c>
      <c r="B759" s="3">
        <v>756</v>
      </c>
      <c r="C759" s="3">
        <v>167</v>
      </c>
      <c r="D759" s="15">
        <v>46.3</v>
      </c>
      <c r="E759" s="1">
        <f t="shared" si="66"/>
        <v>-0.54166666666666641</v>
      </c>
      <c r="F759">
        <f t="shared" si="67"/>
        <v>0</v>
      </c>
      <c r="G759">
        <f t="shared" si="68"/>
        <v>430.92829620788041</v>
      </c>
      <c r="I759">
        <f t="shared" si="69"/>
        <v>5.5555555555555556E-4</v>
      </c>
      <c r="J759">
        <f t="shared" si="70"/>
        <v>0</v>
      </c>
      <c r="K759">
        <f t="shared" si="71"/>
        <v>1.034227910898913</v>
      </c>
    </row>
    <row r="760" spans="1:11" x14ac:dyDescent="0.35">
      <c r="A760" s="3" t="s">
        <v>7</v>
      </c>
      <c r="B760" s="3">
        <v>757</v>
      </c>
      <c r="C760" s="3">
        <v>168</v>
      </c>
      <c r="D760" s="15">
        <v>43.7</v>
      </c>
      <c r="E760" s="1">
        <f t="shared" si="66"/>
        <v>-0.97222222222222221</v>
      </c>
      <c r="F760">
        <f t="shared" si="67"/>
        <v>0</v>
      </c>
      <c r="G760">
        <f t="shared" si="68"/>
        <v>406.72929901262148</v>
      </c>
      <c r="I760">
        <f t="shared" si="69"/>
        <v>5.5555555555555556E-4</v>
      </c>
      <c r="J760">
        <f t="shared" si="70"/>
        <v>0</v>
      </c>
      <c r="K760">
        <f t="shared" si="71"/>
        <v>0.97615031763029159</v>
      </c>
    </row>
    <row r="761" spans="1:11" x14ac:dyDescent="0.35">
      <c r="A761" s="3" t="s">
        <v>7</v>
      </c>
      <c r="B761" s="3">
        <v>758</v>
      </c>
      <c r="C761" s="3">
        <v>169</v>
      </c>
      <c r="D761" s="15">
        <v>39.299999999999997</v>
      </c>
      <c r="E761" s="1">
        <f t="shared" si="66"/>
        <v>-1.3333333333333335</v>
      </c>
      <c r="F761">
        <f t="shared" si="67"/>
        <v>0</v>
      </c>
      <c r="G761">
        <f t="shared" si="68"/>
        <v>365.7771499129525</v>
      </c>
      <c r="I761">
        <f t="shared" si="69"/>
        <v>5.5555555555555556E-4</v>
      </c>
      <c r="J761">
        <f t="shared" si="70"/>
        <v>0</v>
      </c>
      <c r="K761">
        <f t="shared" si="71"/>
        <v>0.87786515979108604</v>
      </c>
    </row>
    <row r="762" spans="1:11" x14ac:dyDescent="0.35">
      <c r="A762" s="3" t="s">
        <v>7</v>
      </c>
      <c r="B762" s="3">
        <v>759</v>
      </c>
      <c r="C762" s="3">
        <v>170</v>
      </c>
      <c r="D762" s="15">
        <v>34.1</v>
      </c>
      <c r="E762" s="1">
        <f t="shared" si="66"/>
        <v>-1.4305555555555551</v>
      </c>
      <c r="F762">
        <f t="shared" si="67"/>
        <v>0</v>
      </c>
      <c r="G762">
        <f t="shared" si="68"/>
        <v>317.37915552243459</v>
      </c>
      <c r="I762">
        <f t="shared" si="69"/>
        <v>5.5555555555555556E-4</v>
      </c>
      <c r="J762">
        <f t="shared" si="70"/>
        <v>0</v>
      </c>
      <c r="K762">
        <f t="shared" si="71"/>
        <v>0.76170997325384304</v>
      </c>
    </row>
    <row r="763" spans="1:11" x14ac:dyDescent="0.35">
      <c r="A763" s="3" t="s">
        <v>7</v>
      </c>
      <c r="B763" s="3">
        <v>760</v>
      </c>
      <c r="C763" s="3">
        <v>171</v>
      </c>
      <c r="D763" s="15">
        <v>29</v>
      </c>
      <c r="E763" s="1">
        <f t="shared" si="66"/>
        <v>-1.4444444444444446</v>
      </c>
      <c r="F763">
        <f t="shared" si="67"/>
        <v>0</v>
      </c>
      <c r="G763">
        <f t="shared" si="68"/>
        <v>269.91189179327284</v>
      </c>
      <c r="I763">
        <f t="shared" si="69"/>
        <v>5.5555555555555556E-4</v>
      </c>
      <c r="J763">
        <f t="shared" si="70"/>
        <v>0</v>
      </c>
      <c r="K763">
        <f t="shared" si="71"/>
        <v>0.6477885403038548</v>
      </c>
    </row>
    <row r="764" spans="1:11" x14ac:dyDescent="0.35">
      <c r="A764" s="3" t="s">
        <v>7</v>
      </c>
      <c r="B764" s="3">
        <v>761</v>
      </c>
      <c r="C764" s="3">
        <v>172</v>
      </c>
      <c r="D764" s="15">
        <v>23.7</v>
      </c>
      <c r="E764" s="1">
        <f t="shared" si="66"/>
        <v>-1.4722222222222223</v>
      </c>
      <c r="F764">
        <f t="shared" si="67"/>
        <v>0</v>
      </c>
      <c r="G764">
        <f t="shared" si="68"/>
        <v>220.58316674139883</v>
      </c>
      <c r="I764">
        <f t="shared" si="69"/>
        <v>5.5555555555555556E-4</v>
      </c>
      <c r="J764">
        <f t="shared" si="70"/>
        <v>0</v>
      </c>
      <c r="K764">
        <f t="shared" si="71"/>
        <v>0.52939960017935717</v>
      </c>
    </row>
    <row r="765" spans="1:11" x14ac:dyDescent="0.35">
      <c r="A765" s="3" t="s">
        <v>7</v>
      </c>
      <c r="B765" s="3">
        <v>762</v>
      </c>
      <c r="C765" s="3">
        <v>173</v>
      </c>
      <c r="D765" s="15">
        <v>18.399999999999999</v>
      </c>
      <c r="E765" s="1">
        <f t="shared" si="66"/>
        <v>-1.3055555555555554</v>
      </c>
      <c r="F765">
        <f t="shared" si="67"/>
        <v>0</v>
      </c>
      <c r="G765">
        <f t="shared" si="68"/>
        <v>171.25444168952481</v>
      </c>
      <c r="I765">
        <f t="shared" si="69"/>
        <v>5.5555555555555556E-4</v>
      </c>
      <c r="J765">
        <f t="shared" si="70"/>
        <v>0</v>
      </c>
      <c r="K765">
        <f t="shared" si="71"/>
        <v>0.41101066005485959</v>
      </c>
    </row>
    <row r="766" spans="1:11" x14ac:dyDescent="0.35">
      <c r="A766" s="3" t="s">
        <v>7</v>
      </c>
      <c r="B766" s="3">
        <v>763</v>
      </c>
      <c r="C766" s="3">
        <v>174</v>
      </c>
      <c r="D766" s="15">
        <v>14.3</v>
      </c>
      <c r="E766" s="1">
        <f t="shared" si="66"/>
        <v>-0.88888888888888862</v>
      </c>
      <c r="F766">
        <f t="shared" si="67"/>
        <v>0</v>
      </c>
      <c r="G766">
        <f t="shared" si="68"/>
        <v>133.09448457392418</v>
      </c>
      <c r="I766">
        <f t="shared" si="69"/>
        <v>5.5555555555555556E-4</v>
      </c>
      <c r="J766">
        <f t="shared" si="70"/>
        <v>0</v>
      </c>
      <c r="K766">
        <f t="shared" si="71"/>
        <v>0.31942676297741801</v>
      </c>
    </row>
    <row r="767" spans="1:11" x14ac:dyDescent="0.35">
      <c r="A767" s="3" t="s">
        <v>7</v>
      </c>
      <c r="B767" s="3">
        <v>764</v>
      </c>
      <c r="C767" s="3">
        <v>175</v>
      </c>
      <c r="D767" s="15">
        <v>12</v>
      </c>
      <c r="E767" s="1">
        <f t="shared" si="66"/>
        <v>-0.20833333333333331</v>
      </c>
      <c r="F767">
        <f t="shared" si="67"/>
        <v>0</v>
      </c>
      <c r="G767">
        <f t="shared" si="68"/>
        <v>111.68767936273358</v>
      </c>
      <c r="I767">
        <f t="shared" si="69"/>
        <v>5.5555555555555556E-4</v>
      </c>
      <c r="J767">
        <f t="shared" si="70"/>
        <v>0</v>
      </c>
      <c r="K767">
        <f t="shared" si="71"/>
        <v>0.2680504304705606</v>
      </c>
    </row>
    <row r="768" spans="1:11" x14ac:dyDescent="0.35">
      <c r="A768" s="3" t="s">
        <v>7</v>
      </c>
      <c r="B768" s="3">
        <v>765</v>
      </c>
      <c r="C768" s="3">
        <v>176</v>
      </c>
      <c r="D768" s="15">
        <v>12.8</v>
      </c>
      <c r="E768" s="1">
        <f t="shared" si="66"/>
        <v>0.55555555555555558</v>
      </c>
      <c r="F768">
        <f t="shared" si="67"/>
        <v>321.98733096296297</v>
      </c>
      <c r="G768">
        <f t="shared" si="68"/>
        <v>119.13352465358248</v>
      </c>
      <c r="I768">
        <f t="shared" si="69"/>
        <v>5.5555555555555556E-4</v>
      </c>
      <c r="J768">
        <f t="shared" si="70"/>
        <v>0.44720462633744856</v>
      </c>
      <c r="K768">
        <f t="shared" si="71"/>
        <v>0.28592045916859798</v>
      </c>
    </row>
    <row r="769" spans="1:11" x14ac:dyDescent="0.35">
      <c r="A769" s="3" t="s">
        <v>7</v>
      </c>
      <c r="B769" s="3">
        <v>766</v>
      </c>
      <c r="C769" s="3">
        <v>177</v>
      </c>
      <c r="D769" s="15">
        <v>16</v>
      </c>
      <c r="E769" s="1">
        <f t="shared" si="66"/>
        <v>0.87500000000000011</v>
      </c>
      <c r="F769">
        <f t="shared" si="67"/>
        <v>468.52789629629638</v>
      </c>
      <c r="G769">
        <f t="shared" si="68"/>
        <v>148.9169058169781</v>
      </c>
      <c r="I769">
        <f t="shared" si="69"/>
        <v>5.5555555555555556E-4</v>
      </c>
      <c r="J769">
        <f t="shared" si="70"/>
        <v>0.65073318930041169</v>
      </c>
      <c r="K769">
        <f t="shared" si="71"/>
        <v>0.35740057396074743</v>
      </c>
    </row>
    <row r="770" spans="1:11" x14ac:dyDescent="0.35">
      <c r="A770" s="3" t="s">
        <v>7</v>
      </c>
      <c r="B770" s="3">
        <v>767</v>
      </c>
      <c r="C770" s="3">
        <v>178</v>
      </c>
      <c r="D770" s="15">
        <v>19.100000000000001</v>
      </c>
      <c r="E770" s="1">
        <f t="shared" si="66"/>
        <v>0.88888888888888862</v>
      </c>
      <c r="F770">
        <f t="shared" si="67"/>
        <v>475.89301037962946</v>
      </c>
      <c r="G770">
        <f t="shared" si="68"/>
        <v>177.76955631901762</v>
      </c>
      <c r="I770">
        <f t="shared" si="69"/>
        <v>5.5555555555555556E-4</v>
      </c>
      <c r="J770">
        <f t="shared" si="70"/>
        <v>0.66096251441615206</v>
      </c>
      <c r="K770">
        <f t="shared" si="71"/>
        <v>0.42664693516564234</v>
      </c>
    </row>
    <row r="771" spans="1:11" x14ac:dyDescent="0.35">
      <c r="A771" s="3" t="s">
        <v>7</v>
      </c>
      <c r="B771" s="3">
        <v>768</v>
      </c>
      <c r="C771" s="3">
        <v>179</v>
      </c>
      <c r="D771" s="15">
        <v>22.4</v>
      </c>
      <c r="E771" s="1">
        <f t="shared" si="66"/>
        <v>0.90277777777777779</v>
      </c>
      <c r="F771">
        <f t="shared" si="67"/>
        <v>483.52495940740744</v>
      </c>
      <c r="G771">
        <f t="shared" si="68"/>
        <v>208.48366814376934</v>
      </c>
      <c r="I771">
        <f t="shared" si="69"/>
        <v>5.5555555555555556E-4</v>
      </c>
      <c r="J771">
        <f t="shared" si="70"/>
        <v>0.67156244362139916</v>
      </c>
      <c r="K771">
        <f t="shared" si="71"/>
        <v>0.50036080354504642</v>
      </c>
    </row>
    <row r="772" spans="1:11" x14ac:dyDescent="0.35">
      <c r="A772" s="3" t="s">
        <v>7</v>
      </c>
      <c r="B772" s="3">
        <v>769</v>
      </c>
      <c r="C772" s="3">
        <v>180</v>
      </c>
      <c r="D772" s="15">
        <v>25.6</v>
      </c>
      <c r="E772" s="1">
        <f t="shared" si="66"/>
        <v>1.0694444444444449</v>
      </c>
      <c r="F772">
        <f t="shared" si="67"/>
        <v>560.98145718518538</v>
      </c>
      <c r="G772">
        <f t="shared" si="68"/>
        <v>238.26704930716497</v>
      </c>
      <c r="I772">
        <f t="shared" si="69"/>
        <v>5.5555555555555556E-4</v>
      </c>
      <c r="J772">
        <f t="shared" si="70"/>
        <v>0.77914091275720188</v>
      </c>
      <c r="K772">
        <f t="shared" si="71"/>
        <v>0.57184091833719597</v>
      </c>
    </row>
    <row r="773" spans="1:11" x14ac:dyDescent="0.35">
      <c r="A773" s="3" t="s">
        <v>7</v>
      </c>
      <c r="B773" s="3">
        <v>770</v>
      </c>
      <c r="C773" s="3">
        <v>181</v>
      </c>
      <c r="D773" s="15">
        <v>30.1</v>
      </c>
      <c r="E773" s="1">
        <f t="shared" ref="E773:E836" si="72">($D774-$D772)/2/3.6</f>
        <v>1.3472222222222217</v>
      </c>
      <c r="F773">
        <f t="shared" ref="F773:F836" si="73">IF(D773=0,0,MAX(0,0.285*(1600*E773 + 1600*9.81*0.015 + 0.5*1.225*0.32*2.2*(D773/3.6)^2)))</f>
        <v>690.02488926851822</v>
      </c>
      <c r="G773">
        <f t="shared" ref="G773:G836" si="74">60*D773/(2*PI()*3.6*0.285)</f>
        <v>280.14992906819009</v>
      </c>
      <c r="I773">
        <f t="shared" ref="I773:I836" si="75">1/1800</f>
        <v>5.5555555555555556E-4</v>
      </c>
      <c r="J773">
        <f t="shared" ref="J773:J836" si="76">F773/(M$3*3.6)</f>
        <v>0.95836790176183084</v>
      </c>
      <c r="K773">
        <f t="shared" ref="K773:K836" si="77">G773*3.6/N$3</f>
        <v>0.67235982976365627</v>
      </c>
    </row>
    <row r="774" spans="1:11" x14ac:dyDescent="0.35">
      <c r="A774" s="3" t="s">
        <v>7</v>
      </c>
      <c r="B774" s="3">
        <v>771</v>
      </c>
      <c r="C774" s="3">
        <v>182</v>
      </c>
      <c r="D774" s="15">
        <v>35.299999999999997</v>
      </c>
      <c r="E774" s="1">
        <f t="shared" si="72"/>
        <v>1.3611111111111107</v>
      </c>
      <c r="F774">
        <f t="shared" si="73"/>
        <v>699.58299971296276</v>
      </c>
      <c r="G774">
        <f t="shared" si="74"/>
        <v>328.54792345870794</v>
      </c>
      <c r="I774">
        <f t="shared" si="75"/>
        <v>5.5555555555555556E-4</v>
      </c>
      <c r="J774">
        <f t="shared" si="76"/>
        <v>0.97164305515689275</v>
      </c>
      <c r="K774">
        <f t="shared" si="77"/>
        <v>0.78851501630089904</v>
      </c>
    </row>
    <row r="775" spans="1:11" x14ac:dyDescent="0.35">
      <c r="A775" s="3" t="s">
        <v>7</v>
      </c>
      <c r="B775" s="3">
        <v>772</v>
      </c>
      <c r="C775" s="3">
        <v>183</v>
      </c>
      <c r="D775" s="15">
        <v>39.9</v>
      </c>
      <c r="E775" s="1">
        <f t="shared" si="72"/>
        <v>1.2777777777777781</v>
      </c>
      <c r="F775">
        <f t="shared" si="73"/>
        <v>664.86315408333348</v>
      </c>
      <c r="G775">
        <f t="shared" si="74"/>
        <v>371.36153388108914</v>
      </c>
      <c r="I775">
        <f t="shared" si="75"/>
        <v>5.5555555555555556E-4</v>
      </c>
      <c r="J775">
        <f t="shared" si="76"/>
        <v>0.92342104733796315</v>
      </c>
      <c r="K775">
        <f t="shared" si="77"/>
        <v>0.89126768131461409</v>
      </c>
    </row>
    <row r="776" spans="1:11" x14ac:dyDescent="0.35">
      <c r="A776" s="3" t="s">
        <v>7</v>
      </c>
      <c r="B776" s="3">
        <v>773</v>
      </c>
      <c r="C776" s="3">
        <v>184</v>
      </c>
      <c r="D776" s="15">
        <v>44.5</v>
      </c>
      <c r="E776" s="1">
        <f t="shared" si="72"/>
        <v>1.0555555555555558</v>
      </c>
      <c r="F776">
        <f t="shared" si="73"/>
        <v>567.21127060185199</v>
      </c>
      <c r="G776">
        <f t="shared" si="74"/>
        <v>414.17514430347035</v>
      </c>
      <c r="I776">
        <f t="shared" si="75"/>
        <v>5.5555555555555556E-4</v>
      </c>
      <c r="J776">
        <f t="shared" si="76"/>
        <v>0.78779343139146107</v>
      </c>
      <c r="K776">
        <f t="shared" si="77"/>
        <v>0.99402034632832892</v>
      </c>
    </row>
    <row r="777" spans="1:11" x14ac:dyDescent="0.35">
      <c r="A777" s="3" t="s">
        <v>7</v>
      </c>
      <c r="B777" s="3">
        <v>774</v>
      </c>
      <c r="C777" s="3">
        <v>185</v>
      </c>
      <c r="D777" s="15">
        <v>47.5</v>
      </c>
      <c r="E777" s="1">
        <f t="shared" si="72"/>
        <v>0.88888888888888862</v>
      </c>
      <c r="F777">
        <f t="shared" si="73"/>
        <v>493.82841504629613</v>
      </c>
      <c r="G777">
        <f t="shared" si="74"/>
        <v>442.09706414415376</v>
      </c>
      <c r="I777">
        <f t="shared" si="75"/>
        <v>5.5555555555555556E-4</v>
      </c>
      <c r="J777">
        <f t="shared" si="76"/>
        <v>0.68587279867541129</v>
      </c>
      <c r="K777">
        <f t="shared" si="77"/>
        <v>1.0610329539459691</v>
      </c>
    </row>
    <row r="778" spans="1:11" x14ac:dyDescent="0.35">
      <c r="A778" s="3" t="s">
        <v>7</v>
      </c>
      <c r="B778" s="3">
        <v>775</v>
      </c>
      <c r="C778" s="3">
        <v>186</v>
      </c>
      <c r="D778" s="15">
        <v>50.9</v>
      </c>
      <c r="E778" s="1">
        <f t="shared" si="72"/>
        <v>0.91666666666666685</v>
      </c>
      <c r="F778">
        <f t="shared" si="73"/>
        <v>509.66751593518524</v>
      </c>
      <c r="G778">
        <f t="shared" si="74"/>
        <v>473.74190663026161</v>
      </c>
      <c r="I778">
        <f t="shared" si="75"/>
        <v>5.5555555555555556E-4</v>
      </c>
      <c r="J778">
        <f t="shared" si="76"/>
        <v>0.70787154990997947</v>
      </c>
      <c r="K778">
        <f t="shared" si="77"/>
        <v>1.1369805759126279</v>
      </c>
    </row>
    <row r="779" spans="1:11" x14ac:dyDescent="0.35">
      <c r="A779" s="3" t="s">
        <v>7</v>
      </c>
      <c r="B779" s="3">
        <v>776</v>
      </c>
      <c r="C779" s="3">
        <v>187</v>
      </c>
      <c r="D779" s="15">
        <v>54.1</v>
      </c>
      <c r="E779" s="1">
        <f t="shared" si="72"/>
        <v>0.74999999999999978</v>
      </c>
      <c r="F779">
        <f t="shared" si="73"/>
        <v>436.8536048240739</v>
      </c>
      <c r="G779">
        <f t="shared" si="74"/>
        <v>503.52528779365724</v>
      </c>
      <c r="I779">
        <f t="shared" si="75"/>
        <v>5.5555555555555556E-4</v>
      </c>
      <c r="J779">
        <f t="shared" si="76"/>
        <v>0.60674111781121376</v>
      </c>
      <c r="K779">
        <f t="shared" si="77"/>
        <v>1.2084606907047772</v>
      </c>
    </row>
    <row r="780" spans="1:11" x14ac:dyDescent="0.35">
      <c r="A780" s="3" t="s">
        <v>7</v>
      </c>
      <c r="B780" s="3">
        <v>777</v>
      </c>
      <c r="C780" s="3">
        <v>188</v>
      </c>
      <c r="D780" s="15">
        <v>56.3</v>
      </c>
      <c r="E780" s="1">
        <f t="shared" si="72"/>
        <v>0.55555555555555558</v>
      </c>
      <c r="F780">
        <f t="shared" si="73"/>
        <v>350.49002526851854</v>
      </c>
      <c r="G780">
        <f t="shared" si="74"/>
        <v>524.00136234349168</v>
      </c>
      <c r="I780">
        <f t="shared" si="75"/>
        <v>5.5555555555555556E-4</v>
      </c>
      <c r="J780">
        <f t="shared" si="76"/>
        <v>0.48679170176183129</v>
      </c>
      <c r="K780">
        <f t="shared" si="77"/>
        <v>1.2576032696243802</v>
      </c>
    </row>
    <row r="781" spans="1:11" x14ac:dyDescent="0.35">
      <c r="A781" s="3" t="s">
        <v>7</v>
      </c>
      <c r="B781" s="3">
        <v>778</v>
      </c>
      <c r="C781" s="3">
        <v>189</v>
      </c>
      <c r="D781" s="15">
        <v>58.1</v>
      </c>
      <c r="E781" s="1">
        <f t="shared" si="72"/>
        <v>0.4861111111111111</v>
      </c>
      <c r="F781">
        <f t="shared" si="73"/>
        <v>320.7759759351851</v>
      </c>
      <c r="G781">
        <f t="shared" si="74"/>
        <v>540.75451424790174</v>
      </c>
      <c r="I781">
        <f t="shared" si="75"/>
        <v>5.5555555555555556E-4</v>
      </c>
      <c r="J781">
        <f t="shared" si="76"/>
        <v>0.44552218879886818</v>
      </c>
      <c r="K781">
        <f t="shared" si="77"/>
        <v>1.2978108341949641</v>
      </c>
    </row>
    <row r="782" spans="1:11" x14ac:dyDescent="0.35">
      <c r="A782" s="3" t="s">
        <v>7</v>
      </c>
      <c r="B782" s="3">
        <v>779</v>
      </c>
      <c r="C782" s="3">
        <v>190</v>
      </c>
      <c r="D782" s="15">
        <v>59.8</v>
      </c>
      <c r="E782" s="1">
        <f t="shared" si="72"/>
        <v>0.41666666666666663</v>
      </c>
      <c r="F782">
        <f t="shared" si="73"/>
        <v>291.0098681851851</v>
      </c>
      <c r="G782">
        <f t="shared" si="74"/>
        <v>556.57693549095563</v>
      </c>
      <c r="I782">
        <f t="shared" si="75"/>
        <v>5.5555555555555556E-4</v>
      </c>
      <c r="J782">
        <f t="shared" si="76"/>
        <v>0.40418037247942373</v>
      </c>
      <c r="K782">
        <f t="shared" si="77"/>
        <v>1.3357846451782935</v>
      </c>
    </row>
    <row r="783" spans="1:11" x14ac:dyDescent="0.35">
      <c r="A783" s="3" t="s">
        <v>7</v>
      </c>
      <c r="B783" s="3">
        <v>780</v>
      </c>
      <c r="C783" s="3">
        <v>191</v>
      </c>
      <c r="D783" s="15">
        <v>61.1</v>
      </c>
      <c r="E783" s="1">
        <f t="shared" si="72"/>
        <v>0.31944444444444503</v>
      </c>
      <c r="F783">
        <f t="shared" si="73"/>
        <v>248.16688482407434</v>
      </c>
      <c r="G783">
        <f t="shared" si="74"/>
        <v>568.6764340885851</v>
      </c>
      <c r="I783">
        <f t="shared" si="75"/>
        <v>5.5555555555555556E-4</v>
      </c>
      <c r="J783">
        <f t="shared" si="76"/>
        <v>0.34467622892232547</v>
      </c>
      <c r="K783">
        <f t="shared" si="77"/>
        <v>1.3648234418126042</v>
      </c>
    </row>
    <row r="784" spans="1:11" x14ac:dyDescent="0.35">
      <c r="A784" s="3" t="s">
        <v>7</v>
      </c>
      <c r="B784" s="3">
        <v>781</v>
      </c>
      <c r="C784" s="3">
        <v>192</v>
      </c>
      <c r="D784" s="15">
        <v>62.1</v>
      </c>
      <c r="E784" s="1">
        <f t="shared" si="72"/>
        <v>0.23611111111111052</v>
      </c>
      <c r="F784">
        <f t="shared" si="73"/>
        <v>211.33511741666638</v>
      </c>
      <c r="G784">
        <f t="shared" si="74"/>
        <v>577.98374070214629</v>
      </c>
      <c r="I784">
        <f t="shared" si="75"/>
        <v>5.5555555555555556E-4</v>
      </c>
      <c r="J784">
        <f t="shared" si="76"/>
        <v>0.29352099641203666</v>
      </c>
      <c r="K784">
        <f t="shared" si="77"/>
        <v>1.387160977685151</v>
      </c>
    </row>
    <row r="785" spans="1:11" x14ac:dyDescent="0.35">
      <c r="A785" s="3" t="s">
        <v>7</v>
      </c>
      <c r="B785" s="3">
        <v>782</v>
      </c>
      <c r="C785" s="3">
        <v>193</v>
      </c>
      <c r="D785" s="15">
        <v>62.8</v>
      </c>
      <c r="E785" s="1">
        <f t="shared" si="72"/>
        <v>0.16666666666666607</v>
      </c>
      <c r="F785">
        <f t="shared" si="73"/>
        <v>180.49749762962932</v>
      </c>
      <c r="G785">
        <f t="shared" si="74"/>
        <v>584.49885533163911</v>
      </c>
      <c r="I785">
        <f t="shared" si="75"/>
        <v>5.5555555555555556E-4</v>
      </c>
      <c r="J785">
        <f t="shared" si="76"/>
        <v>0.25069096893004073</v>
      </c>
      <c r="K785">
        <f t="shared" si="77"/>
        <v>1.402797252795934</v>
      </c>
    </row>
    <row r="786" spans="1:11" x14ac:dyDescent="0.35">
      <c r="A786" s="3" t="s">
        <v>7</v>
      </c>
      <c r="B786" s="3">
        <v>783</v>
      </c>
      <c r="C786" s="3">
        <v>194</v>
      </c>
      <c r="D786" s="15">
        <v>63.3</v>
      </c>
      <c r="E786" s="1">
        <f t="shared" si="72"/>
        <v>0.1111111111111117</v>
      </c>
      <c r="F786">
        <f t="shared" si="73"/>
        <v>155.76203008333357</v>
      </c>
      <c r="G786">
        <f t="shared" si="74"/>
        <v>589.15250863841959</v>
      </c>
      <c r="I786">
        <f t="shared" si="75"/>
        <v>5.5555555555555556E-4</v>
      </c>
      <c r="J786">
        <f t="shared" si="76"/>
        <v>0.21633615289351885</v>
      </c>
      <c r="K786">
        <f t="shared" si="77"/>
        <v>1.4139660207322071</v>
      </c>
    </row>
    <row r="787" spans="1:11" x14ac:dyDescent="0.35">
      <c r="A787" s="3" t="s">
        <v>7</v>
      </c>
      <c r="B787" s="3">
        <v>784</v>
      </c>
      <c r="C787" s="3">
        <v>195</v>
      </c>
      <c r="D787" s="15">
        <v>63.6</v>
      </c>
      <c r="E787" s="1">
        <f t="shared" si="72"/>
        <v>9.7222222222222612E-2</v>
      </c>
      <c r="F787">
        <f t="shared" si="73"/>
        <v>149.78969200000017</v>
      </c>
      <c r="G787">
        <f t="shared" si="74"/>
        <v>591.94470062248797</v>
      </c>
      <c r="I787">
        <f t="shared" si="75"/>
        <v>5.5555555555555556E-4</v>
      </c>
      <c r="J787">
        <f t="shared" si="76"/>
        <v>0.20804123888888912</v>
      </c>
      <c r="K787">
        <f t="shared" si="77"/>
        <v>1.4206672814939711</v>
      </c>
    </row>
    <row r="788" spans="1:11" x14ac:dyDescent="0.35">
      <c r="A788" s="3" t="s">
        <v>7</v>
      </c>
      <c r="B788" s="3">
        <v>785</v>
      </c>
      <c r="C788" s="3">
        <v>196</v>
      </c>
      <c r="D788" s="15">
        <v>64</v>
      </c>
      <c r="E788" s="1">
        <f t="shared" si="72"/>
        <v>0.15277777777777798</v>
      </c>
      <c r="F788">
        <f t="shared" si="73"/>
        <v>175.60700740740748</v>
      </c>
      <c r="G788">
        <f t="shared" si="74"/>
        <v>595.6676232679124</v>
      </c>
      <c r="I788">
        <f t="shared" si="75"/>
        <v>5.5555555555555556E-4</v>
      </c>
      <c r="J788">
        <f t="shared" si="76"/>
        <v>0.24389862139917706</v>
      </c>
      <c r="K788">
        <f t="shared" si="77"/>
        <v>1.4296022958429897</v>
      </c>
    </row>
    <row r="789" spans="1:11" x14ac:dyDescent="0.35">
      <c r="A789" s="3" t="s">
        <v>7</v>
      </c>
      <c r="B789" s="3">
        <v>786</v>
      </c>
      <c r="C789" s="3">
        <v>197</v>
      </c>
      <c r="D789" s="15">
        <v>64.7</v>
      </c>
      <c r="E789" s="1">
        <f t="shared" si="72"/>
        <v>0.16666666666666705</v>
      </c>
      <c r="F789">
        <f t="shared" si="73"/>
        <v>182.79461082407423</v>
      </c>
      <c r="G789">
        <f t="shared" si="74"/>
        <v>602.18273789740522</v>
      </c>
      <c r="I789">
        <f t="shared" si="75"/>
        <v>5.5555555555555556E-4</v>
      </c>
      <c r="J789">
        <f t="shared" si="76"/>
        <v>0.25388140392232533</v>
      </c>
      <c r="K789">
        <f t="shared" si="77"/>
        <v>1.4452385709537727</v>
      </c>
    </row>
    <row r="790" spans="1:11" x14ac:dyDescent="0.35">
      <c r="A790" s="3" t="s">
        <v>7</v>
      </c>
      <c r="B790" s="3">
        <v>787</v>
      </c>
      <c r="C790" s="3">
        <v>198</v>
      </c>
      <c r="D790" s="15">
        <v>65.2</v>
      </c>
      <c r="E790" s="1">
        <f t="shared" si="72"/>
        <v>8.3333333333332538E-2</v>
      </c>
      <c r="F790">
        <f t="shared" si="73"/>
        <v>145.41049318518481</v>
      </c>
      <c r="G790">
        <f t="shared" si="74"/>
        <v>606.83639120418582</v>
      </c>
      <c r="I790">
        <f t="shared" si="75"/>
        <v>5.5555555555555556E-4</v>
      </c>
      <c r="J790">
        <f t="shared" si="76"/>
        <v>0.20195901831275667</v>
      </c>
      <c r="K790">
        <f t="shared" si="77"/>
        <v>1.456407338890046</v>
      </c>
    </row>
    <row r="791" spans="1:11" x14ac:dyDescent="0.35">
      <c r="A791" s="3" t="s">
        <v>7</v>
      </c>
      <c r="B791" s="3">
        <v>788</v>
      </c>
      <c r="C791" s="3">
        <v>199</v>
      </c>
      <c r="D791" s="15">
        <v>65.3</v>
      </c>
      <c r="E791" s="1">
        <f t="shared" si="72"/>
        <v>1.3888888888888099E-2</v>
      </c>
      <c r="F791">
        <f t="shared" si="73"/>
        <v>113.86757193518483</v>
      </c>
      <c r="G791">
        <f t="shared" si="74"/>
        <v>607.76712186554187</v>
      </c>
      <c r="I791">
        <f t="shared" si="75"/>
        <v>5.5555555555555556E-4</v>
      </c>
      <c r="J791">
        <f t="shared" si="76"/>
        <v>0.15814940546553449</v>
      </c>
      <c r="K791">
        <f t="shared" si="77"/>
        <v>1.4586410924773006</v>
      </c>
    </row>
    <row r="792" spans="1:11" x14ac:dyDescent="0.35">
      <c r="A792" s="3" t="s">
        <v>7</v>
      </c>
      <c r="B792" s="3">
        <v>789</v>
      </c>
      <c r="C792" s="3">
        <v>200</v>
      </c>
      <c r="D792" s="15">
        <v>65.3</v>
      </c>
      <c r="E792" s="1">
        <f t="shared" si="72"/>
        <v>1.3888888888890073E-2</v>
      </c>
      <c r="F792">
        <f t="shared" si="73"/>
        <v>113.86757193518572</v>
      </c>
      <c r="G792">
        <f t="shared" si="74"/>
        <v>607.76712186554187</v>
      </c>
      <c r="I792">
        <f t="shared" si="75"/>
        <v>5.5555555555555556E-4</v>
      </c>
      <c r="J792">
        <f t="shared" si="76"/>
        <v>0.15814940546553571</v>
      </c>
      <c r="K792">
        <f t="shared" si="77"/>
        <v>1.4586410924773006</v>
      </c>
    </row>
    <row r="793" spans="1:11" x14ac:dyDescent="0.35">
      <c r="A793" s="3" t="s">
        <v>7</v>
      </c>
      <c r="B793" s="3">
        <v>790</v>
      </c>
      <c r="C793" s="3">
        <v>201</v>
      </c>
      <c r="D793" s="15">
        <v>65.400000000000006</v>
      </c>
      <c r="E793" s="1">
        <f t="shared" si="72"/>
        <v>5.5555555555556344E-2</v>
      </c>
      <c r="F793">
        <f t="shared" si="73"/>
        <v>132.99150700000035</v>
      </c>
      <c r="G793">
        <f t="shared" si="74"/>
        <v>608.69785252689803</v>
      </c>
      <c r="I793">
        <f t="shared" si="75"/>
        <v>5.5555555555555556E-4</v>
      </c>
      <c r="J793">
        <f t="shared" si="76"/>
        <v>0.18471042638888938</v>
      </c>
      <c r="K793">
        <f t="shared" si="77"/>
        <v>1.4608748460645553</v>
      </c>
    </row>
    <row r="794" spans="1:11" x14ac:dyDescent="0.35">
      <c r="A794" s="3" t="s">
        <v>7</v>
      </c>
      <c r="B794" s="3">
        <v>791</v>
      </c>
      <c r="C794" s="3">
        <v>202</v>
      </c>
      <c r="D794" s="15">
        <v>65.7</v>
      </c>
      <c r="E794" s="1">
        <f t="shared" si="72"/>
        <v>8.3333333333332538E-2</v>
      </c>
      <c r="F794">
        <f t="shared" si="73"/>
        <v>146.03111674999965</v>
      </c>
      <c r="G794">
        <f t="shared" si="74"/>
        <v>611.4900445109663</v>
      </c>
      <c r="I794">
        <f t="shared" si="75"/>
        <v>5.5555555555555556E-4</v>
      </c>
      <c r="J794">
        <f t="shared" si="76"/>
        <v>0.20282099548611063</v>
      </c>
      <c r="K794">
        <f t="shared" si="77"/>
        <v>1.4675761068263191</v>
      </c>
    </row>
    <row r="795" spans="1:11" x14ac:dyDescent="0.35">
      <c r="A795" s="3" t="s">
        <v>7</v>
      </c>
      <c r="B795" s="3">
        <v>792</v>
      </c>
      <c r="C795" s="3">
        <v>203</v>
      </c>
      <c r="D795" s="15">
        <v>66</v>
      </c>
      <c r="E795" s="1">
        <f t="shared" si="72"/>
        <v>-1.3888888888890073E-2</v>
      </c>
      <c r="F795">
        <f t="shared" si="73"/>
        <v>102.07243333333278</v>
      </c>
      <c r="G795">
        <f t="shared" si="74"/>
        <v>614.28223649503468</v>
      </c>
      <c r="I795">
        <f t="shared" si="75"/>
        <v>5.5555555555555556E-4</v>
      </c>
      <c r="J795">
        <f t="shared" si="76"/>
        <v>0.14176726851851776</v>
      </c>
      <c r="K795">
        <f t="shared" si="77"/>
        <v>1.4742773675880831</v>
      </c>
    </row>
    <row r="796" spans="1:11" x14ac:dyDescent="0.35">
      <c r="A796" s="3" t="s">
        <v>7</v>
      </c>
      <c r="B796" s="3">
        <v>793</v>
      </c>
      <c r="C796" s="3">
        <v>204</v>
      </c>
      <c r="D796" s="15">
        <v>65.599999999999994</v>
      </c>
      <c r="E796" s="1">
        <f t="shared" si="72"/>
        <v>-0.34722222222222221</v>
      </c>
      <c r="F796">
        <f t="shared" si="73"/>
        <v>0</v>
      </c>
      <c r="G796">
        <f t="shared" si="74"/>
        <v>610.55931384961013</v>
      </c>
      <c r="I796">
        <f t="shared" si="75"/>
        <v>5.5555555555555556E-4</v>
      </c>
      <c r="J796">
        <f t="shared" si="76"/>
        <v>0</v>
      </c>
      <c r="K796">
        <f t="shared" si="77"/>
        <v>1.4653423532390644</v>
      </c>
    </row>
    <row r="797" spans="1:11" x14ac:dyDescent="0.35">
      <c r="A797" s="3" t="s">
        <v>7</v>
      </c>
      <c r="B797" s="3">
        <v>794</v>
      </c>
      <c r="C797" s="3">
        <v>205</v>
      </c>
      <c r="D797" s="15">
        <v>63.5</v>
      </c>
      <c r="E797" s="1">
        <f t="shared" si="72"/>
        <v>-0.8194444444444432</v>
      </c>
      <c r="F797">
        <f t="shared" si="73"/>
        <v>0</v>
      </c>
      <c r="G797">
        <f t="shared" si="74"/>
        <v>591.01396996113181</v>
      </c>
      <c r="I797">
        <f t="shared" si="75"/>
        <v>5.5555555555555556E-4</v>
      </c>
      <c r="J797">
        <f t="shared" si="76"/>
        <v>0</v>
      </c>
      <c r="K797">
        <f t="shared" si="77"/>
        <v>1.4184335279067164</v>
      </c>
    </row>
    <row r="798" spans="1:11" x14ac:dyDescent="0.35">
      <c r="A798" s="3" t="s">
        <v>7</v>
      </c>
      <c r="B798" s="3">
        <v>795</v>
      </c>
      <c r="C798" s="3">
        <v>206</v>
      </c>
      <c r="D798" s="15">
        <v>59.7</v>
      </c>
      <c r="E798" s="1">
        <f t="shared" si="72"/>
        <v>-1.2361111111111109</v>
      </c>
      <c r="F798">
        <f t="shared" si="73"/>
        <v>0</v>
      </c>
      <c r="G798">
        <f t="shared" si="74"/>
        <v>555.64620482959958</v>
      </c>
      <c r="I798">
        <f t="shared" si="75"/>
        <v>5.5555555555555556E-4</v>
      </c>
      <c r="J798">
        <f t="shared" si="76"/>
        <v>0</v>
      </c>
      <c r="K798">
        <f t="shared" si="77"/>
        <v>1.333550891591039</v>
      </c>
    </row>
    <row r="799" spans="1:11" x14ac:dyDescent="0.35">
      <c r="A799" s="3" t="s">
        <v>7</v>
      </c>
      <c r="B799" s="3">
        <v>796</v>
      </c>
      <c r="C799" s="3">
        <v>207</v>
      </c>
      <c r="D799" s="15">
        <v>54.6</v>
      </c>
      <c r="E799" s="1">
        <f t="shared" si="72"/>
        <v>-1.4444444444444453</v>
      </c>
      <c r="F799">
        <f t="shared" si="73"/>
        <v>0</v>
      </c>
      <c r="G799">
        <f t="shared" si="74"/>
        <v>508.17894110043778</v>
      </c>
      <c r="I799">
        <f t="shared" si="75"/>
        <v>5.5555555555555556E-4</v>
      </c>
      <c r="J799">
        <f t="shared" si="76"/>
        <v>0</v>
      </c>
      <c r="K799">
        <f t="shared" si="77"/>
        <v>1.2196294586410508</v>
      </c>
    </row>
    <row r="800" spans="1:11" x14ac:dyDescent="0.35">
      <c r="A800" s="3" t="s">
        <v>7</v>
      </c>
      <c r="B800" s="3">
        <v>797</v>
      </c>
      <c r="C800" s="3">
        <v>208</v>
      </c>
      <c r="D800" s="15">
        <v>49.3</v>
      </c>
      <c r="E800" s="1">
        <f t="shared" si="72"/>
        <v>-1.3472222222222225</v>
      </c>
      <c r="F800">
        <f t="shared" si="73"/>
        <v>0</v>
      </c>
      <c r="G800">
        <f t="shared" si="74"/>
        <v>458.85021604856377</v>
      </c>
      <c r="I800">
        <f t="shared" si="75"/>
        <v>5.5555555555555556E-4</v>
      </c>
      <c r="J800">
        <f t="shared" si="76"/>
        <v>0</v>
      </c>
      <c r="K800">
        <f t="shared" si="77"/>
        <v>1.101240518516553</v>
      </c>
    </row>
    <row r="801" spans="1:11" x14ac:dyDescent="0.35">
      <c r="A801" s="3" t="s">
        <v>7</v>
      </c>
      <c r="B801" s="3">
        <v>798</v>
      </c>
      <c r="C801" s="3">
        <v>209</v>
      </c>
      <c r="D801" s="15">
        <v>44.9</v>
      </c>
      <c r="E801" s="1">
        <f t="shared" si="72"/>
        <v>-0.97222222222222221</v>
      </c>
      <c r="F801">
        <f t="shared" si="73"/>
        <v>0</v>
      </c>
      <c r="G801">
        <f t="shared" si="74"/>
        <v>417.89806694889484</v>
      </c>
      <c r="I801">
        <f t="shared" si="75"/>
        <v>5.5555555555555556E-4</v>
      </c>
      <c r="J801">
        <f t="shared" si="76"/>
        <v>0</v>
      </c>
      <c r="K801">
        <f t="shared" si="77"/>
        <v>1.0029553606773476</v>
      </c>
    </row>
    <row r="802" spans="1:11" x14ac:dyDescent="0.35">
      <c r="A802" s="3" t="s">
        <v>7</v>
      </c>
      <c r="B802" s="3">
        <v>799</v>
      </c>
      <c r="C802" s="3">
        <v>210</v>
      </c>
      <c r="D802" s="15">
        <v>42.3</v>
      </c>
      <c r="E802" s="1">
        <f t="shared" si="72"/>
        <v>-0.4861111111111111</v>
      </c>
      <c r="F802">
        <f t="shared" si="73"/>
        <v>0</v>
      </c>
      <c r="G802">
        <f t="shared" si="74"/>
        <v>393.69906975363585</v>
      </c>
      <c r="I802">
        <f t="shared" si="75"/>
        <v>5.5555555555555556E-4</v>
      </c>
      <c r="J802">
        <f t="shared" si="76"/>
        <v>0</v>
      </c>
      <c r="K802">
        <f t="shared" si="77"/>
        <v>0.94487776740872609</v>
      </c>
    </row>
    <row r="803" spans="1:11" x14ac:dyDescent="0.35">
      <c r="A803" s="3" t="s">
        <v>7</v>
      </c>
      <c r="B803" s="3">
        <v>800</v>
      </c>
      <c r="C803" s="3">
        <v>211</v>
      </c>
      <c r="D803" s="15">
        <v>41.4</v>
      </c>
      <c r="E803" s="1">
        <f t="shared" si="72"/>
        <v>-0.1388888888888889</v>
      </c>
      <c r="F803">
        <f t="shared" si="73"/>
        <v>20.019533666666664</v>
      </c>
      <c r="G803">
        <f t="shared" si="74"/>
        <v>385.32249380143082</v>
      </c>
      <c r="I803">
        <f t="shared" si="75"/>
        <v>5.5555555555555556E-4</v>
      </c>
      <c r="J803">
        <f t="shared" si="76"/>
        <v>2.7804907870370366E-2</v>
      </c>
      <c r="K803">
        <f t="shared" si="77"/>
        <v>0.92477398512343401</v>
      </c>
    </row>
    <row r="804" spans="1:11" x14ac:dyDescent="0.35">
      <c r="A804" s="3" t="s">
        <v>7</v>
      </c>
      <c r="B804" s="3">
        <v>801</v>
      </c>
      <c r="C804" s="3">
        <v>212</v>
      </c>
      <c r="D804" s="15">
        <v>41.3</v>
      </c>
      <c r="E804" s="1">
        <f t="shared" si="72"/>
        <v>9.7222222222222612E-2</v>
      </c>
      <c r="F804">
        <f t="shared" si="73"/>
        <v>127.60778082407424</v>
      </c>
      <c r="G804">
        <f t="shared" si="74"/>
        <v>384.39176314007472</v>
      </c>
      <c r="I804">
        <f t="shared" si="75"/>
        <v>5.5555555555555556E-4</v>
      </c>
      <c r="J804">
        <f t="shared" si="76"/>
        <v>0.17723302892232534</v>
      </c>
      <c r="K804">
        <f t="shared" si="77"/>
        <v>0.92254023153617937</v>
      </c>
    </row>
    <row r="805" spans="1:11" x14ac:dyDescent="0.35">
      <c r="A805" s="3" t="s">
        <v>7</v>
      </c>
      <c r="B805" s="3">
        <v>802</v>
      </c>
      <c r="C805" s="3">
        <v>213</v>
      </c>
      <c r="D805" s="15">
        <v>42.1</v>
      </c>
      <c r="E805" s="1">
        <f t="shared" si="72"/>
        <v>0.47222222222222299</v>
      </c>
      <c r="F805">
        <f t="shared" si="73"/>
        <v>299.24044704629659</v>
      </c>
      <c r="G805">
        <f t="shared" si="74"/>
        <v>391.83760843092364</v>
      </c>
      <c r="I805">
        <f t="shared" si="75"/>
        <v>5.5555555555555556E-4</v>
      </c>
      <c r="J805">
        <f t="shared" si="76"/>
        <v>0.41561173200874529</v>
      </c>
      <c r="K805">
        <f t="shared" si="77"/>
        <v>0.94041026023421681</v>
      </c>
    </row>
    <row r="806" spans="1:11" x14ac:dyDescent="0.35">
      <c r="A806" s="3" t="s">
        <v>7</v>
      </c>
      <c r="B806" s="3">
        <v>803</v>
      </c>
      <c r="C806" s="3">
        <v>214</v>
      </c>
      <c r="D806" s="15">
        <v>44.7</v>
      </c>
      <c r="E806" s="1">
        <f t="shared" si="72"/>
        <v>0.87499999999999956</v>
      </c>
      <c r="F806">
        <f t="shared" si="73"/>
        <v>485.04710341666646</v>
      </c>
      <c r="G806">
        <f t="shared" si="74"/>
        <v>416.03660562618256</v>
      </c>
      <c r="I806">
        <f t="shared" si="75"/>
        <v>5.5555555555555556E-4</v>
      </c>
      <c r="J806">
        <f t="shared" si="76"/>
        <v>0.67367653252314785</v>
      </c>
      <c r="K806">
        <f t="shared" si="77"/>
        <v>0.9984878535028382</v>
      </c>
    </row>
    <row r="807" spans="1:11" x14ac:dyDescent="0.35">
      <c r="A807" s="3" t="s">
        <v>7</v>
      </c>
      <c r="B807" s="3">
        <v>804</v>
      </c>
      <c r="C807" s="3">
        <v>215</v>
      </c>
      <c r="D807" s="15">
        <v>48.4</v>
      </c>
      <c r="E807" s="1">
        <f t="shared" si="72"/>
        <v>0.93055555555555491</v>
      </c>
      <c r="F807">
        <f t="shared" si="73"/>
        <v>513.64684162962931</v>
      </c>
      <c r="G807">
        <f t="shared" si="74"/>
        <v>450.47364009635879</v>
      </c>
      <c r="I807">
        <f t="shared" si="75"/>
        <v>5.5555555555555556E-4</v>
      </c>
      <c r="J807">
        <f t="shared" si="76"/>
        <v>0.71339839115226289</v>
      </c>
      <c r="K807">
        <f t="shared" si="77"/>
        <v>1.0811367362312612</v>
      </c>
    </row>
    <row r="808" spans="1:11" x14ac:dyDescent="0.35">
      <c r="A808" s="3" t="s">
        <v>7</v>
      </c>
      <c r="B808" s="3">
        <v>805</v>
      </c>
      <c r="C808" s="3">
        <v>216</v>
      </c>
      <c r="D808" s="15">
        <v>51.4</v>
      </c>
      <c r="E808" s="1">
        <f t="shared" si="72"/>
        <v>0.59722222222222276</v>
      </c>
      <c r="F808">
        <f t="shared" si="73"/>
        <v>364.48587440740761</v>
      </c>
      <c r="G808">
        <f t="shared" si="74"/>
        <v>478.39555993704215</v>
      </c>
      <c r="I808">
        <f t="shared" si="75"/>
        <v>5.5555555555555556E-4</v>
      </c>
      <c r="J808">
        <f t="shared" si="76"/>
        <v>0.50623038112139951</v>
      </c>
      <c r="K808">
        <f t="shared" si="77"/>
        <v>1.1481493438489012</v>
      </c>
    </row>
    <row r="809" spans="1:11" x14ac:dyDescent="0.35">
      <c r="A809" s="3" t="s">
        <v>7</v>
      </c>
      <c r="B809" s="3">
        <v>806</v>
      </c>
      <c r="C809" s="3">
        <v>217</v>
      </c>
      <c r="D809" s="15">
        <v>52.7</v>
      </c>
      <c r="E809" s="1">
        <f t="shared" si="72"/>
        <v>0.2222222222222224</v>
      </c>
      <c r="F809">
        <f t="shared" si="73"/>
        <v>194.76912860185192</v>
      </c>
      <c r="G809">
        <f t="shared" si="74"/>
        <v>490.49505853467161</v>
      </c>
      <c r="I809">
        <f t="shared" si="75"/>
        <v>5.5555555555555556E-4</v>
      </c>
      <c r="J809">
        <f t="shared" si="76"/>
        <v>0.27051267861368322</v>
      </c>
      <c r="K809">
        <f t="shared" si="77"/>
        <v>1.1771881404832119</v>
      </c>
    </row>
    <row r="810" spans="1:11" x14ac:dyDescent="0.35">
      <c r="A810" s="3" t="s">
        <v>7</v>
      </c>
      <c r="B810" s="3">
        <v>807</v>
      </c>
      <c r="C810" s="3">
        <v>218</v>
      </c>
      <c r="D810" s="15">
        <v>53</v>
      </c>
      <c r="E810" s="1">
        <f t="shared" si="72"/>
        <v>-2.7777777777778172E-2</v>
      </c>
      <c r="F810">
        <f t="shared" si="73"/>
        <v>81.069815740740552</v>
      </c>
      <c r="G810">
        <f t="shared" si="74"/>
        <v>493.28725051874</v>
      </c>
      <c r="I810">
        <f t="shared" si="75"/>
        <v>5.5555555555555556E-4</v>
      </c>
      <c r="J810">
        <f t="shared" si="76"/>
        <v>0.1125969663065841</v>
      </c>
      <c r="K810">
        <f t="shared" si="77"/>
        <v>1.1838894012449759</v>
      </c>
    </row>
    <row r="811" spans="1:11" x14ac:dyDescent="0.35">
      <c r="A811" s="3" t="s">
        <v>7</v>
      </c>
      <c r="B811" s="3">
        <v>808</v>
      </c>
      <c r="C811" s="3">
        <v>219</v>
      </c>
      <c r="D811" s="15">
        <v>52.5</v>
      </c>
      <c r="E811" s="1">
        <f t="shared" si="72"/>
        <v>-0.23611111111111149</v>
      </c>
      <c r="F811">
        <f t="shared" si="73"/>
        <v>0</v>
      </c>
      <c r="G811">
        <f t="shared" si="74"/>
        <v>488.6335972119594</v>
      </c>
      <c r="I811">
        <f t="shared" si="75"/>
        <v>5.5555555555555556E-4</v>
      </c>
      <c r="J811">
        <f t="shared" si="76"/>
        <v>0</v>
      </c>
      <c r="K811">
        <f t="shared" si="77"/>
        <v>1.1727206333087026</v>
      </c>
    </row>
    <row r="812" spans="1:11" x14ac:dyDescent="0.35">
      <c r="A812" s="3" t="s">
        <v>7</v>
      </c>
      <c r="B812" s="3">
        <v>809</v>
      </c>
      <c r="C812" s="3">
        <v>220</v>
      </c>
      <c r="D812" s="15">
        <v>51.3</v>
      </c>
      <c r="E812" s="1">
        <f t="shared" si="72"/>
        <v>-0.38888888888888851</v>
      </c>
      <c r="F812">
        <f t="shared" si="73"/>
        <v>0</v>
      </c>
      <c r="G812">
        <f t="shared" si="74"/>
        <v>477.46482927568604</v>
      </c>
      <c r="I812">
        <f t="shared" si="75"/>
        <v>5.5555555555555556E-4</v>
      </c>
      <c r="J812">
        <f t="shared" si="76"/>
        <v>0</v>
      </c>
      <c r="K812">
        <f t="shared" si="77"/>
        <v>1.1459155902616465</v>
      </c>
    </row>
    <row r="813" spans="1:11" x14ac:dyDescent="0.35">
      <c r="A813" s="3" t="s">
        <v>7</v>
      </c>
      <c r="B813" s="3">
        <v>810</v>
      </c>
      <c r="C813" s="3">
        <v>221</v>
      </c>
      <c r="D813" s="15">
        <v>49.7</v>
      </c>
      <c r="E813" s="1">
        <f t="shared" si="72"/>
        <v>-0.54166666666666641</v>
      </c>
      <c r="F813">
        <f t="shared" si="73"/>
        <v>0</v>
      </c>
      <c r="G813">
        <f t="shared" si="74"/>
        <v>462.57313869398826</v>
      </c>
      <c r="I813">
        <f t="shared" si="75"/>
        <v>5.5555555555555556E-4</v>
      </c>
      <c r="J813">
        <f t="shared" si="76"/>
        <v>0</v>
      </c>
      <c r="K813">
        <f t="shared" si="77"/>
        <v>1.1101755328655718</v>
      </c>
    </row>
    <row r="814" spans="1:11" x14ac:dyDescent="0.35">
      <c r="A814" s="3" t="s">
        <v>7</v>
      </c>
      <c r="B814" s="3">
        <v>811</v>
      </c>
      <c r="C814" s="3">
        <v>222</v>
      </c>
      <c r="D814" s="15">
        <v>47.4</v>
      </c>
      <c r="E814" s="1">
        <f t="shared" si="72"/>
        <v>-0.83333333333333326</v>
      </c>
      <c r="F814">
        <f t="shared" si="73"/>
        <v>0</v>
      </c>
      <c r="G814">
        <f t="shared" si="74"/>
        <v>441.16633348279765</v>
      </c>
      <c r="I814">
        <f t="shared" si="75"/>
        <v>5.5555555555555556E-4</v>
      </c>
      <c r="J814">
        <f t="shared" si="76"/>
        <v>0</v>
      </c>
      <c r="K814">
        <f t="shared" si="77"/>
        <v>1.0587992003587143</v>
      </c>
    </row>
    <row r="815" spans="1:11" x14ac:dyDescent="0.35">
      <c r="A815" s="3" t="s">
        <v>7</v>
      </c>
      <c r="B815" s="3">
        <v>812</v>
      </c>
      <c r="C815" s="3">
        <v>223</v>
      </c>
      <c r="D815" s="15">
        <v>43.7</v>
      </c>
      <c r="E815" s="1">
        <f t="shared" si="72"/>
        <v>-1.0694444444444438</v>
      </c>
      <c r="F815">
        <f t="shared" si="73"/>
        <v>0</v>
      </c>
      <c r="G815">
        <f t="shared" si="74"/>
        <v>406.72929901262148</v>
      </c>
      <c r="I815">
        <f t="shared" si="75"/>
        <v>5.5555555555555556E-4</v>
      </c>
      <c r="J815">
        <f t="shared" si="76"/>
        <v>0</v>
      </c>
      <c r="K815">
        <f t="shared" si="77"/>
        <v>0.97615031763029159</v>
      </c>
    </row>
    <row r="816" spans="1:11" x14ac:dyDescent="0.35">
      <c r="A816" s="3" t="s">
        <v>7</v>
      </c>
      <c r="B816" s="3">
        <v>813</v>
      </c>
      <c r="C816" s="3">
        <v>224</v>
      </c>
      <c r="D816" s="15">
        <v>39.700000000000003</v>
      </c>
      <c r="E816" s="1">
        <f t="shared" si="72"/>
        <v>-1.1388888888888893</v>
      </c>
      <c r="F816">
        <f t="shared" si="73"/>
        <v>0</v>
      </c>
      <c r="G816">
        <f t="shared" si="74"/>
        <v>369.50007255837693</v>
      </c>
      <c r="I816">
        <f t="shared" si="75"/>
        <v>5.5555555555555556E-4</v>
      </c>
      <c r="J816">
        <f t="shared" si="76"/>
        <v>0</v>
      </c>
      <c r="K816">
        <f t="shared" si="77"/>
        <v>0.88680017414010459</v>
      </c>
    </row>
    <row r="817" spans="1:11" x14ac:dyDescent="0.35">
      <c r="A817" s="3" t="s">
        <v>7</v>
      </c>
      <c r="B817" s="3">
        <v>814</v>
      </c>
      <c r="C817" s="3">
        <v>225</v>
      </c>
      <c r="D817" s="15">
        <v>35.5</v>
      </c>
      <c r="E817" s="1">
        <f t="shared" si="72"/>
        <v>-1.1944444444444446</v>
      </c>
      <c r="F817">
        <f t="shared" si="73"/>
        <v>0</v>
      </c>
      <c r="G817">
        <f t="shared" si="74"/>
        <v>330.40938478142016</v>
      </c>
      <c r="I817">
        <f t="shared" si="75"/>
        <v>5.5555555555555556E-4</v>
      </c>
      <c r="J817">
        <f t="shared" si="76"/>
        <v>0</v>
      </c>
      <c r="K817">
        <f t="shared" si="77"/>
        <v>0.79298252347540843</v>
      </c>
    </row>
    <row r="818" spans="1:11" x14ac:dyDescent="0.35">
      <c r="A818" s="3" t="s">
        <v>7</v>
      </c>
      <c r="B818" s="3">
        <v>815</v>
      </c>
      <c r="C818" s="3">
        <v>226</v>
      </c>
      <c r="D818" s="15">
        <v>31.1</v>
      </c>
      <c r="E818" s="1">
        <f t="shared" si="72"/>
        <v>-1.2777777777777777</v>
      </c>
      <c r="F818">
        <f t="shared" si="73"/>
        <v>0</v>
      </c>
      <c r="G818">
        <f t="shared" si="74"/>
        <v>289.45723568175117</v>
      </c>
      <c r="I818">
        <f t="shared" si="75"/>
        <v>5.5555555555555556E-4</v>
      </c>
      <c r="J818">
        <f t="shared" si="76"/>
        <v>0</v>
      </c>
      <c r="K818">
        <f t="shared" si="77"/>
        <v>0.69469736563620288</v>
      </c>
    </row>
    <row r="819" spans="1:11" x14ac:dyDescent="0.35">
      <c r="A819" s="3" t="s">
        <v>7</v>
      </c>
      <c r="B819" s="3">
        <v>816</v>
      </c>
      <c r="C819" s="3">
        <v>227</v>
      </c>
      <c r="D819" s="15">
        <v>26.3</v>
      </c>
      <c r="E819" s="1">
        <f t="shared" si="72"/>
        <v>-1.2777777777777781</v>
      </c>
      <c r="F819">
        <f t="shared" si="73"/>
        <v>0</v>
      </c>
      <c r="G819">
        <f t="shared" si="74"/>
        <v>244.78216393665775</v>
      </c>
      <c r="I819">
        <f t="shared" si="75"/>
        <v>5.5555555555555556E-4</v>
      </c>
      <c r="J819">
        <f t="shared" si="76"/>
        <v>0</v>
      </c>
      <c r="K819">
        <f t="shared" si="77"/>
        <v>0.58747719344797855</v>
      </c>
    </row>
    <row r="820" spans="1:11" x14ac:dyDescent="0.35">
      <c r="A820" s="3" t="s">
        <v>7</v>
      </c>
      <c r="B820" s="3">
        <v>817</v>
      </c>
      <c r="C820" s="3">
        <v>228</v>
      </c>
      <c r="D820" s="15">
        <v>21.9</v>
      </c>
      <c r="E820" s="1">
        <f t="shared" si="72"/>
        <v>-1.1527777777777779</v>
      </c>
      <c r="F820">
        <f t="shared" si="73"/>
        <v>0</v>
      </c>
      <c r="G820">
        <f t="shared" si="74"/>
        <v>203.83001483698879</v>
      </c>
      <c r="I820">
        <f t="shared" si="75"/>
        <v>5.5555555555555556E-4</v>
      </c>
      <c r="J820">
        <f t="shared" si="76"/>
        <v>0</v>
      </c>
      <c r="K820">
        <f t="shared" si="77"/>
        <v>0.48919203560877311</v>
      </c>
    </row>
    <row r="821" spans="1:11" x14ac:dyDescent="0.35">
      <c r="A821" s="4" t="s">
        <v>7</v>
      </c>
      <c r="B821" s="3">
        <v>818</v>
      </c>
      <c r="C821" s="3">
        <v>229</v>
      </c>
      <c r="D821" s="15">
        <v>18</v>
      </c>
      <c r="E821" s="1">
        <f t="shared" si="72"/>
        <v>-0.68055555555555536</v>
      </c>
      <c r="F821">
        <f t="shared" si="73"/>
        <v>0</v>
      </c>
      <c r="G821">
        <f t="shared" si="74"/>
        <v>167.53151904410038</v>
      </c>
      <c r="I821">
        <f t="shared" si="75"/>
        <v>5.5555555555555556E-4</v>
      </c>
      <c r="J821">
        <f t="shared" si="76"/>
        <v>0</v>
      </c>
      <c r="K821">
        <f t="shared" si="77"/>
        <v>0.40207564570584092</v>
      </c>
    </row>
    <row r="822" spans="1:11" x14ac:dyDescent="0.35">
      <c r="A822" s="3" t="s">
        <v>7</v>
      </c>
      <c r="B822" s="3">
        <v>819</v>
      </c>
      <c r="C822" s="3">
        <v>230</v>
      </c>
      <c r="D822" s="15">
        <v>17</v>
      </c>
      <c r="E822" s="1">
        <f t="shared" si="72"/>
        <v>0</v>
      </c>
      <c r="F822">
        <f t="shared" si="73"/>
        <v>69.840815740740737</v>
      </c>
      <c r="G822">
        <f t="shared" si="74"/>
        <v>158.22421243053924</v>
      </c>
      <c r="I822">
        <f t="shared" si="75"/>
        <v>5.5555555555555556E-4</v>
      </c>
      <c r="J822">
        <f t="shared" si="76"/>
        <v>9.7001132973251025E-2</v>
      </c>
      <c r="K822">
        <f t="shared" si="77"/>
        <v>0.3797381098332942</v>
      </c>
    </row>
    <row r="823" spans="1:11" x14ac:dyDescent="0.35">
      <c r="A823" s="3" t="s">
        <v>7</v>
      </c>
      <c r="B823" s="3">
        <v>820</v>
      </c>
      <c r="C823" s="3">
        <v>231</v>
      </c>
      <c r="D823" s="15">
        <v>18</v>
      </c>
      <c r="E823" s="1">
        <f t="shared" si="72"/>
        <v>0.61111111111111094</v>
      </c>
      <c r="F823">
        <f t="shared" si="73"/>
        <v>348.83936666666654</v>
      </c>
      <c r="G823">
        <f t="shared" si="74"/>
        <v>167.53151904410038</v>
      </c>
      <c r="I823">
        <f t="shared" si="75"/>
        <v>5.5555555555555556E-4</v>
      </c>
      <c r="J823">
        <f t="shared" si="76"/>
        <v>0.48449912037037018</v>
      </c>
      <c r="K823">
        <f t="shared" si="77"/>
        <v>0.40207564570584092</v>
      </c>
    </row>
    <row r="824" spans="1:11" x14ac:dyDescent="0.35">
      <c r="A824" s="3" t="s">
        <v>7</v>
      </c>
      <c r="B824" s="3">
        <v>821</v>
      </c>
      <c r="C824" s="3">
        <v>232</v>
      </c>
      <c r="D824" s="15">
        <v>21.4</v>
      </c>
      <c r="E824" s="1">
        <f t="shared" si="72"/>
        <v>0.94444444444444453</v>
      </c>
      <c r="F824">
        <f t="shared" si="73"/>
        <v>502.10962996296297</v>
      </c>
      <c r="G824">
        <f t="shared" si="74"/>
        <v>199.17636153020823</v>
      </c>
      <c r="I824">
        <f t="shared" si="75"/>
        <v>5.5555555555555556E-4</v>
      </c>
      <c r="J824">
        <f t="shared" si="76"/>
        <v>0.69737448605967078</v>
      </c>
      <c r="K824">
        <f t="shared" si="77"/>
        <v>0.47802326767249975</v>
      </c>
    </row>
    <row r="825" spans="1:11" x14ac:dyDescent="0.35">
      <c r="A825" s="3" t="s">
        <v>7</v>
      </c>
      <c r="B825" s="3">
        <v>822</v>
      </c>
      <c r="C825" s="3">
        <v>233</v>
      </c>
      <c r="D825" s="15">
        <v>24.8</v>
      </c>
      <c r="E825" s="1">
        <f t="shared" si="72"/>
        <v>0.90277777777777779</v>
      </c>
      <c r="F825">
        <f t="shared" si="73"/>
        <v>484.59912651851852</v>
      </c>
      <c r="G825">
        <f t="shared" si="74"/>
        <v>230.82120401631607</v>
      </c>
      <c r="I825">
        <f t="shared" si="75"/>
        <v>5.5555555555555556E-4</v>
      </c>
      <c r="J825">
        <f t="shared" si="76"/>
        <v>0.67305434238683126</v>
      </c>
      <c r="K825">
        <f t="shared" si="77"/>
        <v>0.55397088963915853</v>
      </c>
    </row>
    <row r="826" spans="1:11" x14ac:dyDescent="0.35">
      <c r="A826" s="3" t="s">
        <v>7</v>
      </c>
      <c r="B826" s="3">
        <v>823</v>
      </c>
      <c r="C826" s="3">
        <v>234</v>
      </c>
      <c r="D826" s="15">
        <v>27.9</v>
      </c>
      <c r="E826" s="1">
        <f t="shared" si="72"/>
        <v>0.83333333333333326</v>
      </c>
      <c r="F826">
        <f t="shared" si="73"/>
        <v>454.48160074999998</v>
      </c>
      <c r="G826">
        <f t="shared" si="74"/>
        <v>259.6738545183556</v>
      </c>
      <c r="I826">
        <f t="shared" si="75"/>
        <v>5.5555555555555556E-4</v>
      </c>
      <c r="J826">
        <f t="shared" si="76"/>
        <v>0.63122444548611112</v>
      </c>
      <c r="K826">
        <f t="shared" si="77"/>
        <v>0.62321725084405344</v>
      </c>
    </row>
    <row r="827" spans="1:11" x14ac:dyDescent="0.35">
      <c r="A827" s="3" t="s">
        <v>7</v>
      </c>
      <c r="B827" s="3">
        <v>824</v>
      </c>
      <c r="C827" s="3">
        <v>235</v>
      </c>
      <c r="D827" s="15">
        <v>30.8</v>
      </c>
      <c r="E827" s="1">
        <f t="shared" si="72"/>
        <v>0.70833333333333348</v>
      </c>
      <c r="F827">
        <f t="shared" si="73"/>
        <v>399.09579096296295</v>
      </c>
      <c r="G827">
        <f t="shared" si="74"/>
        <v>286.66504369768285</v>
      </c>
      <c r="I827">
        <f t="shared" si="75"/>
        <v>5.5555555555555556E-4</v>
      </c>
      <c r="J827">
        <f t="shared" si="76"/>
        <v>0.5542997096707819</v>
      </c>
      <c r="K827">
        <f t="shared" si="77"/>
        <v>0.68799610487443885</v>
      </c>
    </row>
    <row r="828" spans="1:11" x14ac:dyDescent="0.35">
      <c r="A828" s="3" t="s">
        <v>7</v>
      </c>
      <c r="B828" s="3">
        <v>825</v>
      </c>
      <c r="C828" s="3">
        <v>236</v>
      </c>
      <c r="D828" s="15">
        <v>33</v>
      </c>
      <c r="E828" s="1">
        <f t="shared" si="72"/>
        <v>0.59722222222222232</v>
      </c>
      <c r="F828">
        <f t="shared" si="73"/>
        <v>349.76007500000003</v>
      </c>
      <c r="G828">
        <f t="shared" si="74"/>
        <v>307.14111824751734</v>
      </c>
      <c r="I828">
        <f t="shared" si="75"/>
        <v>5.5555555555555556E-4</v>
      </c>
      <c r="J828">
        <f t="shared" si="76"/>
        <v>0.48577788194444449</v>
      </c>
      <c r="K828">
        <f t="shared" si="77"/>
        <v>0.73713868379404157</v>
      </c>
    </row>
    <row r="829" spans="1:11" x14ac:dyDescent="0.35">
      <c r="A829" s="3" t="s">
        <v>7</v>
      </c>
      <c r="B829" s="3">
        <v>826</v>
      </c>
      <c r="C829" s="3">
        <v>237</v>
      </c>
      <c r="D829" s="15">
        <v>35.1</v>
      </c>
      <c r="E829" s="1">
        <f t="shared" si="72"/>
        <v>0.56944444444444464</v>
      </c>
      <c r="F829">
        <f t="shared" si="73"/>
        <v>338.44948741666673</v>
      </c>
      <c r="G829">
        <f t="shared" si="74"/>
        <v>326.68646213599573</v>
      </c>
      <c r="I829">
        <f t="shared" si="75"/>
        <v>5.5555555555555556E-4</v>
      </c>
      <c r="J829">
        <f t="shared" si="76"/>
        <v>0.47006873252314824</v>
      </c>
      <c r="K829">
        <f t="shared" si="77"/>
        <v>0.78404750912638976</v>
      </c>
    </row>
    <row r="830" spans="1:11" x14ac:dyDescent="0.35">
      <c r="A830" s="3" t="s">
        <v>7</v>
      </c>
      <c r="B830" s="3">
        <v>827</v>
      </c>
      <c r="C830" s="3">
        <v>238</v>
      </c>
      <c r="D830" s="15">
        <v>37.1</v>
      </c>
      <c r="E830" s="1">
        <f t="shared" si="72"/>
        <v>0.52777777777777735</v>
      </c>
      <c r="F830">
        <f t="shared" si="73"/>
        <v>320.81874704629604</v>
      </c>
      <c r="G830">
        <f t="shared" si="74"/>
        <v>345.301075363118</v>
      </c>
      <c r="I830">
        <f t="shared" si="75"/>
        <v>5.5555555555555556E-4</v>
      </c>
      <c r="J830">
        <f t="shared" si="76"/>
        <v>0.44558159311985562</v>
      </c>
      <c r="K830">
        <f t="shared" si="77"/>
        <v>0.82872258087148321</v>
      </c>
    </row>
    <row r="831" spans="1:11" x14ac:dyDescent="0.35">
      <c r="A831" s="3" t="s">
        <v>7</v>
      </c>
      <c r="B831" s="3">
        <v>828</v>
      </c>
      <c r="C831" s="3">
        <v>239</v>
      </c>
      <c r="D831" s="15">
        <v>38.9</v>
      </c>
      <c r="E831" s="1">
        <f t="shared" si="72"/>
        <v>0.59722222222222177</v>
      </c>
      <c r="F831">
        <f t="shared" si="73"/>
        <v>353.78260704629611</v>
      </c>
      <c r="G831">
        <f t="shared" si="74"/>
        <v>362.05422726752801</v>
      </c>
      <c r="I831">
        <f t="shared" si="75"/>
        <v>5.5555555555555556E-4</v>
      </c>
      <c r="J831">
        <f t="shared" si="76"/>
        <v>0.49136473200874459</v>
      </c>
      <c r="K831">
        <f t="shared" si="77"/>
        <v>0.86893014544206726</v>
      </c>
    </row>
    <row r="832" spans="1:11" x14ac:dyDescent="0.35">
      <c r="A832" s="3" t="s">
        <v>7</v>
      </c>
      <c r="B832" s="3">
        <v>829</v>
      </c>
      <c r="C832" s="3">
        <v>240</v>
      </c>
      <c r="D832" s="15">
        <v>41.4</v>
      </c>
      <c r="E832" s="1">
        <f t="shared" si="72"/>
        <v>0.70833333333333348</v>
      </c>
      <c r="F832">
        <f t="shared" si="73"/>
        <v>406.352867</v>
      </c>
      <c r="G832">
        <f t="shared" si="74"/>
        <v>385.32249380143082</v>
      </c>
      <c r="I832">
        <f t="shared" si="75"/>
        <v>5.5555555555555556E-4</v>
      </c>
      <c r="J832">
        <f t="shared" si="76"/>
        <v>0.56437898194444447</v>
      </c>
      <c r="K832">
        <f t="shared" si="77"/>
        <v>0.92477398512343401</v>
      </c>
    </row>
    <row r="833" spans="1:11" x14ac:dyDescent="0.35">
      <c r="A833" s="3" t="s">
        <v>7</v>
      </c>
      <c r="B833" s="3">
        <v>830</v>
      </c>
      <c r="C833" s="3">
        <v>241</v>
      </c>
      <c r="D833" s="15">
        <v>44</v>
      </c>
      <c r="E833" s="1">
        <f t="shared" si="72"/>
        <v>0.68055555555555536</v>
      </c>
      <c r="F833">
        <f t="shared" si="73"/>
        <v>395.79167407407402</v>
      </c>
      <c r="G833">
        <f t="shared" si="74"/>
        <v>409.52149099668981</v>
      </c>
      <c r="I833">
        <f t="shared" si="75"/>
        <v>5.5555555555555556E-4</v>
      </c>
      <c r="J833">
        <f t="shared" si="76"/>
        <v>0.54971065843621392</v>
      </c>
      <c r="K833">
        <f t="shared" si="77"/>
        <v>0.9828515783920555</v>
      </c>
    </row>
    <row r="834" spans="1:11" x14ac:dyDescent="0.35">
      <c r="A834" s="3" t="s">
        <v>7</v>
      </c>
      <c r="B834" s="3">
        <v>831</v>
      </c>
      <c r="C834" s="3">
        <v>242</v>
      </c>
      <c r="D834" s="15">
        <v>46.3</v>
      </c>
      <c r="E834" s="1">
        <f t="shared" si="72"/>
        <v>0.51388888888888928</v>
      </c>
      <c r="F834">
        <f t="shared" si="73"/>
        <v>321.76107526851871</v>
      </c>
      <c r="G834">
        <f t="shared" si="74"/>
        <v>430.92829620788041</v>
      </c>
      <c r="I834">
        <f t="shared" si="75"/>
        <v>5.5555555555555556E-4</v>
      </c>
      <c r="J834">
        <f t="shared" si="76"/>
        <v>0.44689038231738709</v>
      </c>
      <c r="K834">
        <f t="shared" si="77"/>
        <v>1.034227910898913</v>
      </c>
    </row>
    <row r="835" spans="1:11" x14ac:dyDescent="0.35">
      <c r="A835" s="3" t="s">
        <v>7</v>
      </c>
      <c r="B835" s="3">
        <v>832</v>
      </c>
      <c r="C835" s="3">
        <v>243</v>
      </c>
      <c r="D835" s="15">
        <v>47.7</v>
      </c>
      <c r="E835" s="1">
        <f t="shared" si="72"/>
        <v>0.26388888888888967</v>
      </c>
      <c r="F835">
        <f t="shared" si="73"/>
        <v>209.00896008333368</v>
      </c>
      <c r="G835">
        <f t="shared" si="74"/>
        <v>443.95852546686598</v>
      </c>
      <c r="I835">
        <f t="shared" si="75"/>
        <v>5.5555555555555556E-4</v>
      </c>
      <c r="J835">
        <f t="shared" si="76"/>
        <v>0.29029022233796342</v>
      </c>
      <c r="K835">
        <f t="shared" si="77"/>
        <v>1.0655004611204784</v>
      </c>
    </row>
    <row r="836" spans="1:11" x14ac:dyDescent="0.35">
      <c r="A836" s="3" t="s">
        <v>7</v>
      </c>
      <c r="B836" s="3">
        <v>833</v>
      </c>
      <c r="C836" s="3">
        <v>244</v>
      </c>
      <c r="D836" s="15">
        <v>48.2</v>
      </c>
      <c r="E836" s="1">
        <f t="shared" si="72"/>
        <v>0.1388888888888889</v>
      </c>
      <c r="F836">
        <f t="shared" si="73"/>
        <v>152.46364151851853</v>
      </c>
      <c r="G836">
        <f t="shared" si="74"/>
        <v>448.61217877364652</v>
      </c>
      <c r="I836">
        <f t="shared" si="75"/>
        <v>5.5555555555555556E-4</v>
      </c>
      <c r="J836">
        <f t="shared" si="76"/>
        <v>0.21175505766460906</v>
      </c>
      <c r="K836">
        <f t="shared" si="77"/>
        <v>1.0766692290567517</v>
      </c>
    </row>
    <row r="837" spans="1:11" x14ac:dyDescent="0.35">
      <c r="A837" s="3" t="s">
        <v>7</v>
      </c>
      <c r="B837" s="3">
        <v>834</v>
      </c>
      <c r="C837" s="3">
        <v>245</v>
      </c>
      <c r="D837" s="15">
        <v>48.7</v>
      </c>
      <c r="E837" s="1">
        <f t="shared" ref="E837:E900" si="78">($D838-$D836)/2/3.6</f>
        <v>0.15277777777777699</v>
      </c>
      <c r="F837">
        <f t="shared" ref="F837:F900" si="79">IF(D837=0,0,MAX(0,0.285*(1600*E837 + 1600*9.81*0.015 + 0.5*1.225*0.32*2.2*(D837/3.6)^2)))</f>
        <v>159.25639749074037</v>
      </c>
      <c r="G837">
        <f t="shared" ref="G837:G900" si="80">60*D837/(2*PI()*3.6*0.285)</f>
        <v>453.26583208042712</v>
      </c>
      <c r="I837">
        <f t="shared" ref="I837:I900" si="81">1/1800</f>
        <v>5.5555555555555556E-4</v>
      </c>
      <c r="J837">
        <f t="shared" ref="J837:J900" si="82">F837/(M$3*3.6)</f>
        <v>0.22118944095936163</v>
      </c>
      <c r="K837">
        <f t="shared" ref="K837:K900" si="83">G837*3.6/N$3</f>
        <v>1.0878379969930252</v>
      </c>
    </row>
    <row r="838" spans="1:11" x14ac:dyDescent="0.35">
      <c r="A838" s="3" t="s">
        <v>7</v>
      </c>
      <c r="B838" s="3">
        <v>835</v>
      </c>
      <c r="C838" s="3">
        <v>246</v>
      </c>
      <c r="D838" s="15">
        <v>49.3</v>
      </c>
      <c r="E838" s="1">
        <f t="shared" si="78"/>
        <v>0.15277777777777699</v>
      </c>
      <c r="F838">
        <f t="shared" si="79"/>
        <v>159.81396304629592</v>
      </c>
      <c r="G838">
        <f t="shared" si="80"/>
        <v>458.85021604856377</v>
      </c>
      <c r="I838">
        <f t="shared" si="81"/>
        <v>5.5555555555555556E-4</v>
      </c>
      <c r="J838">
        <f t="shared" si="82"/>
        <v>0.22196383756429988</v>
      </c>
      <c r="K838">
        <f t="shared" si="83"/>
        <v>1.101240518516553</v>
      </c>
    </row>
    <row r="839" spans="1:11" x14ac:dyDescent="0.35">
      <c r="A839" s="3" t="s">
        <v>7</v>
      </c>
      <c r="B839" s="3">
        <v>836</v>
      </c>
      <c r="C839" s="3">
        <v>247</v>
      </c>
      <c r="D839" s="15">
        <v>49.8</v>
      </c>
      <c r="E839" s="1">
        <f t="shared" si="78"/>
        <v>0.12500000000000078</v>
      </c>
      <c r="F839">
        <f t="shared" si="79"/>
        <v>147.61714966666699</v>
      </c>
      <c r="G839">
        <f t="shared" si="80"/>
        <v>463.50386935534436</v>
      </c>
      <c r="I839">
        <f t="shared" si="81"/>
        <v>5.5555555555555556E-4</v>
      </c>
      <c r="J839">
        <f t="shared" si="82"/>
        <v>0.20502381898148192</v>
      </c>
      <c r="K839">
        <f t="shared" si="83"/>
        <v>1.1124092864528266</v>
      </c>
    </row>
    <row r="840" spans="1:11" x14ac:dyDescent="0.35">
      <c r="A840" s="3" t="s">
        <v>7</v>
      </c>
      <c r="B840" s="3">
        <v>837</v>
      </c>
      <c r="C840" s="3">
        <v>248</v>
      </c>
      <c r="D840" s="15">
        <v>50.2</v>
      </c>
      <c r="E840" s="1">
        <f t="shared" si="78"/>
        <v>0.15277777777777798</v>
      </c>
      <c r="F840">
        <f t="shared" si="79"/>
        <v>160.66311262962972</v>
      </c>
      <c r="G840">
        <f t="shared" si="80"/>
        <v>467.2267920007688</v>
      </c>
      <c r="I840">
        <f t="shared" si="81"/>
        <v>5.5555555555555556E-4</v>
      </c>
      <c r="J840">
        <f t="shared" si="82"/>
        <v>0.22314321198559683</v>
      </c>
      <c r="K840">
        <f t="shared" si="83"/>
        <v>1.1213443008018451</v>
      </c>
    </row>
    <row r="841" spans="1:11" x14ac:dyDescent="0.35">
      <c r="A841" s="3" t="s">
        <v>7</v>
      </c>
      <c r="B841" s="3">
        <v>838</v>
      </c>
      <c r="C841" s="3">
        <v>249</v>
      </c>
      <c r="D841" s="15">
        <v>50.9</v>
      </c>
      <c r="E841" s="1">
        <f t="shared" si="78"/>
        <v>0.22222222222222143</v>
      </c>
      <c r="F841">
        <f t="shared" si="79"/>
        <v>193.00084926851815</v>
      </c>
      <c r="G841">
        <f t="shared" si="80"/>
        <v>473.74190663026161</v>
      </c>
      <c r="I841">
        <f t="shared" si="81"/>
        <v>5.5555555555555556E-4</v>
      </c>
      <c r="J841">
        <f t="shared" si="82"/>
        <v>0.26805673509516409</v>
      </c>
      <c r="K841">
        <f t="shared" si="83"/>
        <v>1.1369805759126279</v>
      </c>
    </row>
    <row r="842" spans="1:11" x14ac:dyDescent="0.35">
      <c r="A842" s="3" t="s">
        <v>7</v>
      </c>
      <c r="B842" s="3">
        <v>839</v>
      </c>
      <c r="C842" s="3">
        <v>250</v>
      </c>
      <c r="D842" s="15">
        <v>51.8</v>
      </c>
      <c r="E842" s="1">
        <f t="shared" si="78"/>
        <v>0.2222222222222224</v>
      </c>
      <c r="F842">
        <f t="shared" si="79"/>
        <v>193.87730818518526</v>
      </c>
      <c r="G842">
        <f t="shared" si="80"/>
        <v>482.11848258246664</v>
      </c>
      <c r="I842">
        <f t="shared" si="81"/>
        <v>5.5555555555555556E-4</v>
      </c>
      <c r="J842">
        <f t="shared" si="82"/>
        <v>0.26927403914609066</v>
      </c>
      <c r="K842">
        <f t="shared" si="83"/>
        <v>1.15708435819792</v>
      </c>
    </row>
    <row r="843" spans="1:11" x14ac:dyDescent="0.35">
      <c r="A843" s="3" t="s">
        <v>7</v>
      </c>
      <c r="B843" s="3">
        <v>840</v>
      </c>
      <c r="C843" s="3">
        <v>251</v>
      </c>
      <c r="D843" s="15">
        <v>52.5</v>
      </c>
      <c r="E843" s="1">
        <f t="shared" si="78"/>
        <v>0.20833333333333331</v>
      </c>
      <c r="F843">
        <f t="shared" si="79"/>
        <v>188.23628541666665</v>
      </c>
      <c r="G843">
        <f t="shared" si="80"/>
        <v>488.6335972119594</v>
      </c>
      <c r="I843">
        <f t="shared" si="81"/>
        <v>5.5555555555555556E-4</v>
      </c>
      <c r="J843">
        <f t="shared" si="82"/>
        <v>0.26143928530092592</v>
      </c>
      <c r="K843">
        <f t="shared" si="83"/>
        <v>1.1727206333087026</v>
      </c>
    </row>
    <row r="844" spans="1:11" x14ac:dyDescent="0.35">
      <c r="A844" s="3" t="s">
        <v>7</v>
      </c>
      <c r="B844" s="3">
        <v>841</v>
      </c>
      <c r="C844" s="3">
        <v>252</v>
      </c>
      <c r="D844" s="15">
        <v>53.3</v>
      </c>
      <c r="E844" s="1">
        <f t="shared" si="78"/>
        <v>0.27777777777777779</v>
      </c>
      <c r="F844">
        <f t="shared" si="79"/>
        <v>220.70554304629627</v>
      </c>
      <c r="G844">
        <f t="shared" si="80"/>
        <v>496.07944250280832</v>
      </c>
      <c r="I844">
        <f t="shared" si="81"/>
        <v>5.5555555555555556E-4</v>
      </c>
      <c r="J844">
        <f t="shared" si="82"/>
        <v>0.30653547645318924</v>
      </c>
      <c r="K844">
        <f t="shared" si="83"/>
        <v>1.1905906620067401</v>
      </c>
    </row>
    <row r="845" spans="1:11" x14ac:dyDescent="0.35">
      <c r="A845" s="3" t="s">
        <v>7</v>
      </c>
      <c r="B845" s="3">
        <v>842</v>
      </c>
      <c r="C845" s="3">
        <v>253</v>
      </c>
      <c r="D845" s="15">
        <v>54.5</v>
      </c>
      <c r="E845" s="1">
        <f t="shared" si="78"/>
        <v>0.33333333333333409</v>
      </c>
      <c r="F845">
        <f t="shared" si="79"/>
        <v>247.26552060185213</v>
      </c>
      <c r="G845">
        <f t="shared" si="80"/>
        <v>507.24821043908167</v>
      </c>
      <c r="I845">
        <f t="shared" si="81"/>
        <v>5.5555555555555556E-4</v>
      </c>
      <c r="J845">
        <f t="shared" si="82"/>
        <v>0.34342433416923906</v>
      </c>
      <c r="K845">
        <f t="shared" si="83"/>
        <v>1.217395705053796</v>
      </c>
    </row>
    <row r="846" spans="1:11" x14ac:dyDescent="0.35">
      <c r="A846" s="3" t="s">
        <v>7</v>
      </c>
      <c r="B846" s="3">
        <v>843</v>
      </c>
      <c r="C846" s="3">
        <v>254</v>
      </c>
      <c r="D846" s="15">
        <v>55.7</v>
      </c>
      <c r="E846" s="1">
        <f t="shared" si="78"/>
        <v>0.27777777777777779</v>
      </c>
      <c r="F846">
        <f t="shared" si="79"/>
        <v>223.18614082407404</v>
      </c>
      <c r="G846">
        <f t="shared" si="80"/>
        <v>518.41697837535503</v>
      </c>
      <c r="I846">
        <f t="shared" si="81"/>
        <v>5.5555555555555556E-4</v>
      </c>
      <c r="J846">
        <f t="shared" si="82"/>
        <v>0.30998075114454726</v>
      </c>
      <c r="K846">
        <f t="shared" si="83"/>
        <v>1.2442007481008521</v>
      </c>
    </row>
    <row r="847" spans="1:11" x14ac:dyDescent="0.35">
      <c r="A847" s="3" t="s">
        <v>7</v>
      </c>
      <c r="B847" s="3">
        <v>844</v>
      </c>
      <c r="C847" s="3">
        <v>255</v>
      </c>
      <c r="D847" s="15">
        <v>56.5</v>
      </c>
      <c r="E847" s="1">
        <f t="shared" si="78"/>
        <v>0.15277777777777699</v>
      </c>
      <c r="F847">
        <f t="shared" si="79"/>
        <v>167.03728171296257</v>
      </c>
      <c r="G847">
        <f t="shared" si="80"/>
        <v>525.86282366620389</v>
      </c>
      <c r="I847">
        <f t="shared" si="81"/>
        <v>5.5555555555555556E-4</v>
      </c>
      <c r="J847">
        <f t="shared" si="82"/>
        <v>0.2319962246013369</v>
      </c>
      <c r="K847">
        <f t="shared" si="83"/>
        <v>1.2620707767988895</v>
      </c>
    </row>
    <row r="848" spans="1:11" x14ac:dyDescent="0.35">
      <c r="A848" s="3" t="s">
        <v>7</v>
      </c>
      <c r="B848" s="3">
        <v>845</v>
      </c>
      <c r="C848" s="3">
        <v>256</v>
      </c>
      <c r="D848" s="15">
        <v>56.8</v>
      </c>
      <c r="E848" s="1">
        <f t="shared" si="78"/>
        <v>6.9444444444444448E-2</v>
      </c>
      <c r="F848">
        <f t="shared" si="79"/>
        <v>129.35958874074072</v>
      </c>
      <c r="G848">
        <f t="shared" si="80"/>
        <v>528.65501565027228</v>
      </c>
      <c r="I848">
        <f t="shared" si="81"/>
        <v>5.5555555555555556E-4</v>
      </c>
      <c r="J848">
        <f t="shared" si="82"/>
        <v>0.17966609547325099</v>
      </c>
      <c r="K848">
        <f t="shared" si="83"/>
        <v>1.2687720375606535</v>
      </c>
    </row>
    <row r="849" spans="1:11" x14ac:dyDescent="0.35">
      <c r="A849" s="3" t="s">
        <v>7</v>
      </c>
      <c r="B849" s="3">
        <v>846</v>
      </c>
      <c r="C849" s="3">
        <v>257</v>
      </c>
      <c r="D849" s="15">
        <v>57</v>
      </c>
      <c r="E849" s="1">
        <f t="shared" si="78"/>
        <v>5.5555555555556344E-2</v>
      </c>
      <c r="F849">
        <f t="shared" si="79"/>
        <v>123.24207500000036</v>
      </c>
      <c r="G849">
        <f t="shared" si="80"/>
        <v>530.51647697298449</v>
      </c>
      <c r="I849">
        <f t="shared" si="81"/>
        <v>5.5555555555555556E-4</v>
      </c>
      <c r="J849">
        <f t="shared" si="82"/>
        <v>0.17116954861111161</v>
      </c>
      <c r="K849">
        <f t="shared" si="83"/>
        <v>1.2732395447351628</v>
      </c>
    </row>
    <row r="850" spans="1:11" x14ac:dyDescent="0.35">
      <c r="A850" s="3" t="s">
        <v>7</v>
      </c>
      <c r="B850" s="3">
        <v>847</v>
      </c>
      <c r="C850" s="3">
        <v>258</v>
      </c>
      <c r="D850" s="15">
        <v>57.2</v>
      </c>
      <c r="E850" s="1">
        <f t="shared" si="78"/>
        <v>9.7222222222222612E-2</v>
      </c>
      <c r="F850">
        <f t="shared" si="79"/>
        <v>142.45865318518534</v>
      </c>
      <c r="G850">
        <f t="shared" si="80"/>
        <v>532.37793829569671</v>
      </c>
      <c r="I850">
        <f t="shared" si="81"/>
        <v>5.5555555555555556E-4</v>
      </c>
      <c r="J850">
        <f t="shared" si="82"/>
        <v>0.19785924053497964</v>
      </c>
      <c r="K850">
        <f t="shared" si="83"/>
        <v>1.277707051909672</v>
      </c>
    </row>
    <row r="851" spans="1:11" x14ac:dyDescent="0.35">
      <c r="A851" s="3" t="s">
        <v>7</v>
      </c>
      <c r="B851" s="3">
        <v>848</v>
      </c>
      <c r="C851" s="3">
        <v>259</v>
      </c>
      <c r="D851" s="15">
        <v>57.7</v>
      </c>
      <c r="E851" s="1">
        <f t="shared" si="78"/>
        <v>0.20833333333333331</v>
      </c>
      <c r="F851">
        <f t="shared" si="79"/>
        <v>193.67008415740739</v>
      </c>
      <c r="G851">
        <f t="shared" si="80"/>
        <v>537.03159160247731</v>
      </c>
      <c r="I851">
        <f t="shared" si="81"/>
        <v>5.5555555555555556E-4</v>
      </c>
      <c r="J851">
        <f t="shared" si="82"/>
        <v>0.26898622799639915</v>
      </c>
      <c r="K851">
        <f t="shared" si="83"/>
        <v>1.2888758198459456</v>
      </c>
    </row>
    <row r="852" spans="1:11" x14ac:dyDescent="0.35">
      <c r="A852" s="3" t="s">
        <v>7</v>
      </c>
      <c r="B852" s="3">
        <v>849</v>
      </c>
      <c r="C852" s="3">
        <v>260</v>
      </c>
      <c r="D852" s="15">
        <v>58.7</v>
      </c>
      <c r="E852" s="1">
        <f t="shared" si="78"/>
        <v>0.33333333333333315</v>
      </c>
      <c r="F852">
        <f t="shared" si="79"/>
        <v>251.77383637962953</v>
      </c>
      <c r="G852">
        <f t="shared" si="80"/>
        <v>546.33889821603839</v>
      </c>
      <c r="I852">
        <f t="shared" si="81"/>
        <v>5.5555555555555556E-4</v>
      </c>
      <c r="J852">
        <f t="shared" si="82"/>
        <v>0.34968588386059657</v>
      </c>
      <c r="K852">
        <f t="shared" si="83"/>
        <v>1.3112133557184922</v>
      </c>
    </row>
    <row r="853" spans="1:11" x14ac:dyDescent="0.35">
      <c r="A853" s="3" t="s">
        <v>7</v>
      </c>
      <c r="B853" s="3">
        <v>850</v>
      </c>
      <c r="C853" s="3">
        <v>261</v>
      </c>
      <c r="D853" s="15">
        <v>60.1</v>
      </c>
      <c r="E853" s="1">
        <f t="shared" si="78"/>
        <v>0.33333333333333315</v>
      </c>
      <c r="F853">
        <f t="shared" si="79"/>
        <v>253.35095037962952</v>
      </c>
      <c r="G853">
        <f t="shared" si="80"/>
        <v>559.36912747502402</v>
      </c>
      <c r="I853">
        <f t="shared" si="81"/>
        <v>5.5555555555555556E-4</v>
      </c>
      <c r="J853">
        <f t="shared" si="82"/>
        <v>0.35187631997170765</v>
      </c>
      <c r="K853">
        <f t="shared" si="83"/>
        <v>1.3424859059400576</v>
      </c>
    </row>
    <row r="854" spans="1:11" x14ac:dyDescent="0.35">
      <c r="A854" s="3" t="s">
        <v>7</v>
      </c>
      <c r="B854" s="3">
        <v>851</v>
      </c>
      <c r="C854" s="3">
        <v>262</v>
      </c>
      <c r="D854" s="15">
        <v>61.1</v>
      </c>
      <c r="E854" s="1">
        <f t="shared" si="78"/>
        <v>0.2222222222222224</v>
      </c>
      <c r="F854">
        <f t="shared" si="79"/>
        <v>203.83355149074077</v>
      </c>
      <c r="G854">
        <f t="shared" si="80"/>
        <v>568.6764340885851</v>
      </c>
      <c r="I854">
        <f t="shared" si="81"/>
        <v>5.5555555555555556E-4</v>
      </c>
      <c r="J854">
        <f t="shared" si="82"/>
        <v>0.28310215484825108</v>
      </c>
      <c r="K854">
        <f t="shared" si="83"/>
        <v>1.3648234418126042</v>
      </c>
    </row>
    <row r="855" spans="1:11" x14ac:dyDescent="0.35">
      <c r="A855" s="3" t="s">
        <v>7</v>
      </c>
      <c r="B855" s="3">
        <v>852</v>
      </c>
      <c r="C855" s="3">
        <v>263</v>
      </c>
      <c r="D855" s="15">
        <v>61.7</v>
      </c>
      <c r="E855" s="1">
        <f t="shared" si="78"/>
        <v>0.16666666666666607</v>
      </c>
      <c r="F855">
        <f t="shared" si="79"/>
        <v>179.19888193518491</v>
      </c>
      <c r="G855">
        <f t="shared" si="80"/>
        <v>574.26081805672186</v>
      </c>
      <c r="I855">
        <f t="shared" si="81"/>
        <v>5.5555555555555556E-4</v>
      </c>
      <c r="J855">
        <f t="shared" si="82"/>
        <v>0.24888733602109017</v>
      </c>
      <c r="K855">
        <f t="shared" si="83"/>
        <v>1.3782259633361325</v>
      </c>
    </row>
    <row r="856" spans="1:11" x14ac:dyDescent="0.35">
      <c r="A856" s="3" t="s">
        <v>7</v>
      </c>
      <c r="B856" s="3">
        <v>853</v>
      </c>
      <c r="C856" s="3">
        <v>264</v>
      </c>
      <c r="D856" s="15">
        <v>62.3</v>
      </c>
      <c r="E856" s="1">
        <f t="shared" si="78"/>
        <v>0.16666666666666607</v>
      </c>
      <c r="F856">
        <f t="shared" si="79"/>
        <v>179.904373046296</v>
      </c>
      <c r="G856">
        <f t="shared" si="80"/>
        <v>579.84520202485851</v>
      </c>
      <c r="I856">
        <f t="shared" si="81"/>
        <v>5.5555555555555556E-4</v>
      </c>
      <c r="J856">
        <f t="shared" si="82"/>
        <v>0.24986718478652223</v>
      </c>
      <c r="K856">
        <f t="shared" si="83"/>
        <v>1.3916284848596605</v>
      </c>
    </row>
    <row r="857" spans="1:11" x14ac:dyDescent="0.35">
      <c r="A857" s="3" t="s">
        <v>7</v>
      </c>
      <c r="B857" s="3">
        <v>854</v>
      </c>
      <c r="C857" s="3">
        <v>265</v>
      </c>
      <c r="D857" s="15">
        <v>62.9</v>
      </c>
      <c r="E857" s="1">
        <f t="shared" si="78"/>
        <v>0.1388888888888889</v>
      </c>
      <c r="F857">
        <f t="shared" si="79"/>
        <v>167.95002482407403</v>
      </c>
      <c r="G857">
        <f t="shared" si="80"/>
        <v>585.42958599299516</v>
      </c>
      <c r="I857">
        <f t="shared" si="81"/>
        <v>5.5555555555555556E-4</v>
      </c>
      <c r="J857">
        <f t="shared" si="82"/>
        <v>0.23326392336676949</v>
      </c>
      <c r="K857">
        <f t="shared" si="83"/>
        <v>1.4050310063831886</v>
      </c>
    </row>
    <row r="858" spans="1:11" x14ac:dyDescent="0.35">
      <c r="A858" s="3" t="s">
        <v>7</v>
      </c>
      <c r="B858" s="3">
        <v>855</v>
      </c>
      <c r="C858" s="3">
        <v>266</v>
      </c>
      <c r="D858" s="15">
        <v>63.3</v>
      </c>
      <c r="E858" s="1">
        <f t="shared" si="78"/>
        <v>6.9444444444444448E-2</v>
      </c>
      <c r="F858">
        <f t="shared" si="79"/>
        <v>136.76203008333334</v>
      </c>
      <c r="G858">
        <f t="shared" si="80"/>
        <v>589.15250863841959</v>
      </c>
      <c r="I858">
        <f t="shared" si="81"/>
        <v>5.5555555555555556E-4</v>
      </c>
      <c r="J858">
        <f t="shared" si="82"/>
        <v>0.18994726400462963</v>
      </c>
      <c r="K858">
        <f t="shared" si="83"/>
        <v>1.4139660207322071</v>
      </c>
    </row>
    <row r="859" spans="1:11" x14ac:dyDescent="0.35">
      <c r="A859" s="3" t="s">
        <v>7</v>
      </c>
      <c r="B859" s="3">
        <v>856</v>
      </c>
      <c r="C859" s="3">
        <v>267</v>
      </c>
      <c r="D859" s="15">
        <v>63.4</v>
      </c>
      <c r="E859" s="1">
        <f t="shared" si="78"/>
        <v>2.7777777777778172E-2</v>
      </c>
      <c r="F859">
        <f t="shared" si="79"/>
        <v>117.88217218518537</v>
      </c>
      <c r="G859">
        <f t="shared" si="80"/>
        <v>590.08323929977576</v>
      </c>
      <c r="I859">
        <f t="shared" si="81"/>
        <v>5.5555555555555556E-4</v>
      </c>
      <c r="J859">
        <f t="shared" si="82"/>
        <v>0.1637252391460908</v>
      </c>
      <c r="K859">
        <f t="shared" si="83"/>
        <v>1.4161997743194619</v>
      </c>
    </row>
    <row r="860" spans="1:11" x14ac:dyDescent="0.35">
      <c r="A860" s="3" t="s">
        <v>7</v>
      </c>
      <c r="B860" s="3">
        <v>857</v>
      </c>
      <c r="C860" s="3">
        <v>268</v>
      </c>
      <c r="D860" s="15">
        <v>63.5</v>
      </c>
      <c r="E860" s="1">
        <f t="shared" si="78"/>
        <v>0.15277777777777798</v>
      </c>
      <c r="F860">
        <f t="shared" si="79"/>
        <v>175.00250393518525</v>
      </c>
      <c r="G860">
        <f t="shared" si="80"/>
        <v>591.01396996113181</v>
      </c>
      <c r="I860">
        <f t="shared" si="81"/>
        <v>5.5555555555555556E-4</v>
      </c>
      <c r="J860">
        <f t="shared" si="82"/>
        <v>0.24305903324331285</v>
      </c>
      <c r="K860">
        <f t="shared" si="83"/>
        <v>1.4184335279067164</v>
      </c>
    </row>
    <row r="861" spans="1:11" x14ac:dyDescent="0.35">
      <c r="A861" s="3" t="s">
        <v>7</v>
      </c>
      <c r="B861" s="3">
        <v>858</v>
      </c>
      <c r="C861" s="3">
        <v>269</v>
      </c>
      <c r="D861" s="15">
        <v>64.5</v>
      </c>
      <c r="E861" s="1">
        <f t="shared" si="78"/>
        <v>0.31944444444444403</v>
      </c>
      <c r="F861">
        <f t="shared" si="79"/>
        <v>252.21625208333313</v>
      </c>
      <c r="G861">
        <f t="shared" si="80"/>
        <v>600.321276574693</v>
      </c>
      <c r="I861">
        <f t="shared" si="81"/>
        <v>5.5555555555555556E-4</v>
      </c>
      <c r="J861">
        <f t="shared" si="82"/>
        <v>0.35030035011574046</v>
      </c>
      <c r="K861">
        <f t="shared" si="83"/>
        <v>1.4407710637792635</v>
      </c>
    </row>
    <row r="862" spans="1:11" x14ac:dyDescent="0.35">
      <c r="A862" s="3" t="s">
        <v>7</v>
      </c>
      <c r="B862" s="3">
        <v>859</v>
      </c>
      <c r="C862" s="3">
        <v>270</v>
      </c>
      <c r="D862" s="15">
        <v>65.8</v>
      </c>
      <c r="E862" s="1">
        <f t="shared" si="78"/>
        <v>0.31944444444444403</v>
      </c>
      <c r="F862">
        <f t="shared" si="79"/>
        <v>253.82247707407387</v>
      </c>
      <c r="G862">
        <f t="shared" si="80"/>
        <v>612.42077517232246</v>
      </c>
      <c r="I862">
        <f t="shared" si="81"/>
        <v>5.5555555555555556E-4</v>
      </c>
      <c r="J862">
        <f t="shared" si="82"/>
        <v>0.35253121815843591</v>
      </c>
      <c r="K862">
        <f t="shared" si="83"/>
        <v>1.4698098604135739</v>
      </c>
    </row>
    <row r="863" spans="1:11" x14ac:dyDescent="0.35">
      <c r="A863" s="3" t="s">
        <v>7</v>
      </c>
      <c r="B863" s="3">
        <v>860</v>
      </c>
      <c r="C863" s="3">
        <v>271</v>
      </c>
      <c r="D863" s="15">
        <v>66.8</v>
      </c>
      <c r="E863" s="1">
        <f t="shared" si="78"/>
        <v>0.2222222222222234</v>
      </c>
      <c r="F863">
        <f t="shared" si="79"/>
        <v>210.74651096296347</v>
      </c>
      <c r="G863">
        <f t="shared" si="80"/>
        <v>621.72808178588355</v>
      </c>
      <c r="I863">
        <f t="shared" si="81"/>
        <v>5.5555555555555556E-4</v>
      </c>
      <c r="J863">
        <f t="shared" si="82"/>
        <v>0.2927034874485604</v>
      </c>
      <c r="K863">
        <f t="shared" si="83"/>
        <v>1.4921473962861207</v>
      </c>
    </row>
    <row r="864" spans="1:11" x14ac:dyDescent="0.35">
      <c r="A864" s="3" t="s">
        <v>7</v>
      </c>
      <c r="B864" s="3">
        <v>861</v>
      </c>
      <c r="C864" s="3">
        <v>272</v>
      </c>
      <c r="D864" s="15">
        <v>67.400000000000006</v>
      </c>
      <c r="E864" s="1">
        <f t="shared" si="78"/>
        <v>0.27777777777777779</v>
      </c>
      <c r="F864">
        <f t="shared" si="79"/>
        <v>236.84336774074072</v>
      </c>
      <c r="G864">
        <f t="shared" si="80"/>
        <v>627.31246575402031</v>
      </c>
      <c r="I864">
        <f t="shared" si="81"/>
        <v>5.5555555555555556E-4</v>
      </c>
      <c r="J864">
        <f t="shared" si="82"/>
        <v>0.32894912186213987</v>
      </c>
      <c r="K864">
        <f t="shared" si="83"/>
        <v>1.5055499178096488</v>
      </c>
    </row>
    <row r="865" spans="1:11" x14ac:dyDescent="0.35">
      <c r="A865" s="3" t="s">
        <v>7</v>
      </c>
      <c r="B865" s="3">
        <v>862</v>
      </c>
      <c r="C865" s="3">
        <v>273</v>
      </c>
      <c r="D865" s="15">
        <v>68.8</v>
      </c>
      <c r="E865" s="1">
        <f t="shared" si="78"/>
        <v>0.51388888888888729</v>
      </c>
      <c r="F865">
        <f t="shared" si="79"/>
        <v>346.31813985185113</v>
      </c>
      <c r="G865">
        <f t="shared" si="80"/>
        <v>640.34269501300582</v>
      </c>
      <c r="I865">
        <f t="shared" si="81"/>
        <v>5.5555555555555556E-4</v>
      </c>
      <c r="J865">
        <f t="shared" si="82"/>
        <v>0.48099741646090433</v>
      </c>
      <c r="K865">
        <f t="shared" si="83"/>
        <v>1.5368224680312141</v>
      </c>
    </row>
    <row r="866" spans="1:11" x14ac:dyDescent="0.35">
      <c r="A866" s="3" t="s">
        <v>7</v>
      </c>
      <c r="B866" s="3">
        <v>863</v>
      </c>
      <c r="C866" s="3">
        <v>274</v>
      </c>
      <c r="D866" s="15">
        <v>71.099999999999994</v>
      </c>
      <c r="E866" s="1">
        <f t="shared" si="78"/>
        <v>0.4861111111111111</v>
      </c>
      <c r="F866">
        <f t="shared" si="79"/>
        <v>336.70262741666653</v>
      </c>
      <c r="G866">
        <f t="shared" si="80"/>
        <v>661.74950022419648</v>
      </c>
      <c r="I866">
        <f t="shared" si="81"/>
        <v>5.5555555555555556E-4</v>
      </c>
      <c r="J866">
        <f t="shared" si="82"/>
        <v>0.46764253807870354</v>
      </c>
      <c r="K866">
        <f t="shared" si="83"/>
        <v>1.5881988005380718</v>
      </c>
    </row>
    <row r="867" spans="1:11" x14ac:dyDescent="0.35">
      <c r="A867" s="3" t="s">
        <v>7</v>
      </c>
      <c r="B867" s="3">
        <v>864</v>
      </c>
      <c r="C867" s="3">
        <v>275</v>
      </c>
      <c r="D867" s="15">
        <v>72.3</v>
      </c>
      <c r="E867" s="1">
        <f t="shared" si="78"/>
        <v>0.23611111111111149</v>
      </c>
      <c r="F867">
        <f t="shared" si="79"/>
        <v>224.33436008333345</v>
      </c>
      <c r="G867">
        <f t="shared" si="80"/>
        <v>672.91826816046978</v>
      </c>
      <c r="I867">
        <f t="shared" si="81"/>
        <v>5.5555555555555556E-4</v>
      </c>
      <c r="J867">
        <f t="shared" si="82"/>
        <v>0.31157550011574092</v>
      </c>
      <c r="K867">
        <f t="shared" si="83"/>
        <v>1.6150038435851275</v>
      </c>
    </row>
    <row r="868" spans="1:11" x14ac:dyDescent="0.35">
      <c r="A868" s="3" t="s">
        <v>7</v>
      </c>
      <c r="B868" s="3">
        <v>865</v>
      </c>
      <c r="C868" s="3">
        <v>276</v>
      </c>
      <c r="D868" s="15">
        <v>72.8</v>
      </c>
      <c r="E868" s="1">
        <f t="shared" si="78"/>
        <v>0.15277777777777896</v>
      </c>
      <c r="F868">
        <f t="shared" si="79"/>
        <v>187.02230874074127</v>
      </c>
      <c r="G868">
        <f t="shared" si="80"/>
        <v>677.57192146725038</v>
      </c>
      <c r="I868">
        <f t="shared" si="81"/>
        <v>5.5555555555555556E-4</v>
      </c>
      <c r="J868">
        <f t="shared" si="82"/>
        <v>0.25975320658436285</v>
      </c>
      <c r="K868">
        <f t="shared" si="83"/>
        <v>1.6261726115214008</v>
      </c>
    </row>
    <row r="869" spans="1:11" x14ac:dyDescent="0.35">
      <c r="A869" s="3" t="s">
        <v>7</v>
      </c>
      <c r="B869" s="3">
        <v>866</v>
      </c>
      <c r="C869" s="3">
        <v>277</v>
      </c>
      <c r="D869" s="15">
        <v>73.400000000000006</v>
      </c>
      <c r="E869" s="1">
        <f t="shared" si="78"/>
        <v>0.24999999999999961</v>
      </c>
      <c r="F869">
        <f t="shared" si="79"/>
        <v>232.18743885185168</v>
      </c>
      <c r="G869">
        <f t="shared" si="80"/>
        <v>683.15630543538703</v>
      </c>
      <c r="I869">
        <f t="shared" si="81"/>
        <v>5.5555555555555556E-4</v>
      </c>
      <c r="J869">
        <f t="shared" si="82"/>
        <v>0.32248255396090514</v>
      </c>
      <c r="K869">
        <f t="shared" si="83"/>
        <v>1.6395751330449291</v>
      </c>
    </row>
    <row r="870" spans="1:11" x14ac:dyDescent="0.35">
      <c r="A870" s="3" t="s">
        <v>7</v>
      </c>
      <c r="B870" s="3">
        <v>867</v>
      </c>
      <c r="C870" s="3">
        <v>278</v>
      </c>
      <c r="D870" s="15">
        <v>74.599999999999994</v>
      </c>
      <c r="E870" s="1">
        <f t="shared" si="78"/>
        <v>0.36111111111111033</v>
      </c>
      <c r="F870">
        <f t="shared" si="79"/>
        <v>284.53818107407369</v>
      </c>
      <c r="G870">
        <f t="shared" si="80"/>
        <v>694.32507337166044</v>
      </c>
      <c r="I870">
        <f t="shared" si="81"/>
        <v>5.5555555555555556E-4</v>
      </c>
      <c r="J870">
        <f t="shared" si="82"/>
        <v>0.39519191815843568</v>
      </c>
      <c r="K870">
        <f t="shared" si="83"/>
        <v>1.666380176091985</v>
      </c>
    </row>
    <row r="871" spans="1:11" x14ac:dyDescent="0.35">
      <c r="A871" s="3" t="s">
        <v>7</v>
      </c>
      <c r="B871" s="3">
        <v>868</v>
      </c>
      <c r="C871" s="3">
        <v>279</v>
      </c>
      <c r="D871" s="15">
        <v>76</v>
      </c>
      <c r="E871" s="1">
        <f t="shared" si="78"/>
        <v>0.27777777777777779</v>
      </c>
      <c r="F871">
        <f t="shared" si="79"/>
        <v>248.53745185185184</v>
      </c>
      <c r="G871">
        <f t="shared" si="80"/>
        <v>707.35530263064595</v>
      </c>
      <c r="I871">
        <f t="shared" si="81"/>
        <v>5.5555555555555556E-4</v>
      </c>
      <c r="J871">
        <f t="shared" si="82"/>
        <v>0.34519090534979424</v>
      </c>
      <c r="K871">
        <f t="shared" si="83"/>
        <v>1.6976527263135504</v>
      </c>
    </row>
    <row r="872" spans="1:11" x14ac:dyDescent="0.35">
      <c r="A872" s="3" t="s">
        <v>7</v>
      </c>
      <c r="B872" s="3">
        <v>869</v>
      </c>
      <c r="C872" s="3">
        <v>280</v>
      </c>
      <c r="D872" s="15">
        <v>76.599999999999994</v>
      </c>
      <c r="E872" s="1">
        <f t="shared" si="78"/>
        <v>6.9444444444444448E-2</v>
      </c>
      <c r="F872">
        <f t="shared" si="79"/>
        <v>154.40566107407409</v>
      </c>
      <c r="G872">
        <f t="shared" si="80"/>
        <v>712.93968659878271</v>
      </c>
      <c r="I872">
        <f t="shared" si="81"/>
        <v>5.5555555555555556E-4</v>
      </c>
      <c r="J872">
        <f t="shared" si="82"/>
        <v>0.21445230704732512</v>
      </c>
      <c r="K872">
        <f t="shared" si="83"/>
        <v>1.7110552478370786</v>
      </c>
    </row>
    <row r="873" spans="1:11" x14ac:dyDescent="0.35">
      <c r="A873" s="3" t="s">
        <v>7</v>
      </c>
      <c r="B873" s="3">
        <v>870</v>
      </c>
      <c r="C873" s="3">
        <v>281</v>
      </c>
      <c r="D873" s="15">
        <v>76.5</v>
      </c>
      <c r="E873" s="1">
        <f t="shared" si="78"/>
        <v>-5.5555555555554373E-2</v>
      </c>
      <c r="F873">
        <f t="shared" si="79"/>
        <v>97.260485416667208</v>
      </c>
      <c r="G873">
        <f t="shared" si="80"/>
        <v>712.00895593742655</v>
      </c>
      <c r="I873">
        <f t="shared" si="81"/>
        <v>5.5555555555555556E-4</v>
      </c>
      <c r="J873">
        <f t="shared" si="82"/>
        <v>0.13508400752314889</v>
      </c>
      <c r="K873">
        <f t="shared" si="83"/>
        <v>1.7088214942498237</v>
      </c>
    </row>
    <row r="874" spans="1:11" x14ac:dyDescent="0.35">
      <c r="A874" s="3" t="s">
        <v>7</v>
      </c>
      <c r="B874" s="3">
        <v>871</v>
      </c>
      <c r="C874" s="3">
        <v>282</v>
      </c>
      <c r="D874" s="15">
        <v>76.2</v>
      </c>
      <c r="E874" s="1">
        <f t="shared" si="78"/>
        <v>-9.7222222222222612E-2</v>
      </c>
      <c r="F874">
        <f t="shared" si="79"/>
        <v>77.826096333333155</v>
      </c>
      <c r="G874">
        <f t="shared" si="80"/>
        <v>709.21676395335828</v>
      </c>
      <c r="I874">
        <f t="shared" si="81"/>
        <v>5.5555555555555556E-4</v>
      </c>
      <c r="J874">
        <f t="shared" si="82"/>
        <v>0.10809180046296271</v>
      </c>
      <c r="K874">
        <f t="shared" si="83"/>
        <v>1.7021202334880601</v>
      </c>
    </row>
    <row r="875" spans="1:11" x14ac:dyDescent="0.35">
      <c r="A875" s="3" t="s">
        <v>7</v>
      </c>
      <c r="B875" s="3">
        <v>872</v>
      </c>
      <c r="C875" s="3">
        <v>283</v>
      </c>
      <c r="D875" s="15">
        <v>75.8</v>
      </c>
      <c r="E875" s="1">
        <f t="shared" si="78"/>
        <v>-0.11111111111111072</v>
      </c>
      <c r="F875">
        <f t="shared" si="79"/>
        <v>70.916232629629789</v>
      </c>
      <c r="G875">
        <f t="shared" si="80"/>
        <v>705.49384130793374</v>
      </c>
      <c r="I875">
        <f t="shared" si="81"/>
        <v>5.5555555555555556E-4</v>
      </c>
      <c r="J875">
        <f t="shared" si="82"/>
        <v>9.8494767541152481E-2</v>
      </c>
      <c r="K875">
        <f t="shared" si="83"/>
        <v>1.6931852191390411</v>
      </c>
    </row>
    <row r="876" spans="1:11" x14ac:dyDescent="0.35">
      <c r="A876" s="3" t="s">
        <v>7</v>
      </c>
      <c r="B876" s="3">
        <v>873</v>
      </c>
      <c r="C876" s="3">
        <v>284</v>
      </c>
      <c r="D876" s="15">
        <v>75.400000000000006</v>
      </c>
      <c r="E876" s="1">
        <f t="shared" si="78"/>
        <v>-0.1388888888888889</v>
      </c>
      <c r="F876">
        <f t="shared" si="79"/>
        <v>57.67606996296297</v>
      </c>
      <c r="G876">
        <f t="shared" si="80"/>
        <v>701.7709186625093</v>
      </c>
      <c r="I876">
        <f t="shared" si="81"/>
        <v>5.5555555555555556E-4</v>
      </c>
      <c r="J876">
        <f t="shared" si="82"/>
        <v>8.0105652726337462E-2</v>
      </c>
      <c r="K876">
        <f t="shared" si="83"/>
        <v>1.6842502047900225</v>
      </c>
    </row>
    <row r="877" spans="1:11" x14ac:dyDescent="0.35">
      <c r="A877" s="3" t="s">
        <v>7</v>
      </c>
      <c r="B877" s="3">
        <v>874</v>
      </c>
      <c r="C877" s="3">
        <v>285</v>
      </c>
      <c r="D877" s="15">
        <v>74.8</v>
      </c>
      <c r="E877" s="1">
        <f t="shared" si="78"/>
        <v>-0.20833333333333331</v>
      </c>
      <c r="F877">
        <f t="shared" si="79"/>
        <v>25.154848740740736</v>
      </c>
      <c r="G877">
        <f t="shared" si="80"/>
        <v>696.18653469437265</v>
      </c>
      <c r="I877">
        <f t="shared" si="81"/>
        <v>5.5555555555555556E-4</v>
      </c>
      <c r="J877">
        <f t="shared" si="82"/>
        <v>3.4937289917695465E-2</v>
      </c>
      <c r="K877">
        <f t="shared" si="83"/>
        <v>1.6708476832664942</v>
      </c>
    </row>
    <row r="878" spans="1:11" x14ac:dyDescent="0.35">
      <c r="A878" s="3" t="s">
        <v>7</v>
      </c>
      <c r="B878" s="3">
        <v>875</v>
      </c>
      <c r="C878" s="3">
        <v>286</v>
      </c>
      <c r="D878" s="15">
        <v>73.900000000000006</v>
      </c>
      <c r="E878" s="1">
        <f t="shared" si="78"/>
        <v>-0.29166666666666585</v>
      </c>
      <c r="F878">
        <f t="shared" si="79"/>
        <v>0</v>
      </c>
      <c r="G878">
        <f t="shared" si="80"/>
        <v>687.80995874216762</v>
      </c>
      <c r="I878">
        <f t="shared" si="81"/>
        <v>5.5555555555555556E-4</v>
      </c>
      <c r="J878">
        <f t="shared" si="82"/>
        <v>0</v>
      </c>
      <c r="K878">
        <f t="shared" si="83"/>
        <v>1.6507439009812024</v>
      </c>
    </row>
    <row r="879" spans="1:11" x14ac:dyDescent="0.35">
      <c r="A879" s="3" t="s">
        <v>7</v>
      </c>
      <c r="B879" s="3">
        <v>876</v>
      </c>
      <c r="C879" s="3">
        <v>287</v>
      </c>
      <c r="D879" s="15">
        <v>72.7</v>
      </c>
      <c r="E879" s="1">
        <f t="shared" si="78"/>
        <v>-0.36111111111111227</v>
      </c>
      <c r="F879">
        <f t="shared" si="79"/>
        <v>0</v>
      </c>
      <c r="G879">
        <f t="shared" si="80"/>
        <v>676.64119080589433</v>
      </c>
      <c r="I879">
        <f t="shared" si="81"/>
        <v>5.5555555555555556E-4</v>
      </c>
      <c r="J879">
        <f t="shared" si="82"/>
        <v>0</v>
      </c>
      <c r="K879">
        <f t="shared" si="83"/>
        <v>1.6239388579341463</v>
      </c>
    </row>
    <row r="880" spans="1:11" x14ac:dyDescent="0.35">
      <c r="A880" s="3" t="s">
        <v>7</v>
      </c>
      <c r="B880" s="3">
        <v>877</v>
      </c>
      <c r="C880" s="3">
        <v>288</v>
      </c>
      <c r="D880" s="15">
        <v>71.3</v>
      </c>
      <c r="E880" s="1">
        <f t="shared" si="78"/>
        <v>-0.31944444444444403</v>
      </c>
      <c r="F880">
        <f t="shared" si="79"/>
        <v>0</v>
      </c>
      <c r="G880">
        <f t="shared" si="80"/>
        <v>663.6109615469087</v>
      </c>
      <c r="I880">
        <f t="shared" si="81"/>
        <v>5.5555555555555556E-4</v>
      </c>
      <c r="J880">
        <f t="shared" si="82"/>
        <v>0</v>
      </c>
      <c r="K880">
        <f t="shared" si="83"/>
        <v>1.5926663077125811</v>
      </c>
    </row>
    <row r="881" spans="1:11" x14ac:dyDescent="0.35">
      <c r="A881" s="3" t="s">
        <v>7</v>
      </c>
      <c r="B881" s="3">
        <v>878</v>
      </c>
      <c r="C881" s="3">
        <v>289</v>
      </c>
      <c r="D881" s="15">
        <v>70.400000000000006</v>
      </c>
      <c r="E881" s="1">
        <f t="shared" si="78"/>
        <v>-0.18055555555555516</v>
      </c>
      <c r="F881">
        <f t="shared" si="79"/>
        <v>31.76339496296314</v>
      </c>
      <c r="G881">
        <f t="shared" si="80"/>
        <v>655.23438559470367</v>
      </c>
      <c r="I881">
        <f t="shared" si="81"/>
        <v>5.5555555555555556E-4</v>
      </c>
      <c r="J881">
        <f t="shared" si="82"/>
        <v>4.4115826337448809E-2</v>
      </c>
      <c r="K881">
        <f t="shared" si="83"/>
        <v>1.5725625254272888</v>
      </c>
    </row>
    <row r="882" spans="1:11" x14ac:dyDescent="0.35">
      <c r="A882" s="3" t="s">
        <v>7</v>
      </c>
      <c r="B882" s="3">
        <v>879</v>
      </c>
      <c r="C882" s="3">
        <v>290</v>
      </c>
      <c r="D882" s="15">
        <v>70</v>
      </c>
      <c r="E882" s="1">
        <f t="shared" si="78"/>
        <v>-5.5555555555556344E-2</v>
      </c>
      <c r="F882">
        <f t="shared" si="79"/>
        <v>88.230862962962604</v>
      </c>
      <c r="G882">
        <f t="shared" si="80"/>
        <v>651.51146294927923</v>
      </c>
      <c r="I882">
        <f t="shared" si="81"/>
        <v>5.5555555555555556E-4</v>
      </c>
      <c r="J882">
        <f t="shared" si="82"/>
        <v>0.12254286522633695</v>
      </c>
      <c r="K882">
        <f t="shared" si="83"/>
        <v>1.5636275110782702</v>
      </c>
    </row>
    <row r="883" spans="1:11" x14ac:dyDescent="0.35">
      <c r="A883" s="3" t="s">
        <v>7</v>
      </c>
      <c r="B883" s="3">
        <v>880</v>
      </c>
      <c r="C883" s="3">
        <v>291</v>
      </c>
      <c r="D883" s="15">
        <v>70</v>
      </c>
      <c r="E883" s="1">
        <f t="shared" si="78"/>
        <v>-0.1388888888888889</v>
      </c>
      <c r="F883">
        <f t="shared" si="79"/>
        <v>50.230862962962952</v>
      </c>
      <c r="G883">
        <f t="shared" si="80"/>
        <v>651.51146294927923</v>
      </c>
      <c r="I883">
        <f t="shared" si="81"/>
        <v>5.5555555555555556E-4</v>
      </c>
      <c r="J883">
        <f t="shared" si="82"/>
        <v>6.9765087448559651E-2</v>
      </c>
      <c r="K883">
        <f t="shared" si="83"/>
        <v>1.5636275110782702</v>
      </c>
    </row>
    <row r="884" spans="1:11" x14ac:dyDescent="0.35">
      <c r="A884" s="3" t="s">
        <v>7</v>
      </c>
      <c r="B884" s="3">
        <v>881</v>
      </c>
      <c r="C884" s="3">
        <v>292</v>
      </c>
      <c r="D884" s="15">
        <v>69</v>
      </c>
      <c r="E884" s="1">
        <f t="shared" si="78"/>
        <v>-0.27777777777777779</v>
      </c>
      <c r="F884">
        <f t="shared" si="79"/>
        <v>0</v>
      </c>
      <c r="G884">
        <f t="shared" si="80"/>
        <v>642.20415633571804</v>
      </c>
      <c r="I884">
        <f t="shared" si="81"/>
        <v>5.5555555555555556E-4</v>
      </c>
      <c r="J884">
        <f t="shared" si="82"/>
        <v>0</v>
      </c>
      <c r="K884">
        <f t="shared" si="83"/>
        <v>1.5412899752057234</v>
      </c>
    </row>
    <row r="885" spans="1:11" x14ac:dyDescent="0.35">
      <c r="A885" s="3" t="s">
        <v>7</v>
      </c>
      <c r="B885" s="3">
        <v>882</v>
      </c>
      <c r="C885" s="3">
        <v>293</v>
      </c>
      <c r="D885" s="15">
        <v>68</v>
      </c>
      <c r="E885" s="1">
        <f t="shared" si="78"/>
        <v>-0.1388888888888889</v>
      </c>
      <c r="F885">
        <f t="shared" si="79"/>
        <v>47.61371851851851</v>
      </c>
      <c r="G885">
        <f t="shared" si="80"/>
        <v>632.89684972215696</v>
      </c>
      <c r="I885">
        <f t="shared" si="81"/>
        <v>5.5555555555555556E-4</v>
      </c>
      <c r="J885">
        <f t="shared" si="82"/>
        <v>6.6130164609053493E-2</v>
      </c>
      <c r="K885">
        <f t="shared" si="83"/>
        <v>1.5189524393331768</v>
      </c>
    </row>
    <row r="886" spans="1:11" x14ac:dyDescent="0.35">
      <c r="A886" s="3" t="s">
        <v>7</v>
      </c>
      <c r="B886" s="3">
        <v>883</v>
      </c>
      <c r="C886" s="3">
        <v>294</v>
      </c>
      <c r="D886" s="15">
        <v>68</v>
      </c>
      <c r="E886" s="1">
        <f t="shared" si="78"/>
        <v>0</v>
      </c>
      <c r="F886">
        <f t="shared" si="79"/>
        <v>110.94705185185185</v>
      </c>
      <c r="G886">
        <f t="shared" si="80"/>
        <v>632.89684972215696</v>
      </c>
      <c r="I886">
        <f t="shared" si="81"/>
        <v>5.5555555555555556E-4</v>
      </c>
      <c r="J886">
        <f t="shared" si="82"/>
        <v>0.15409312757201646</v>
      </c>
      <c r="K886">
        <f t="shared" si="83"/>
        <v>1.5189524393331768</v>
      </c>
    </row>
    <row r="887" spans="1:11" x14ac:dyDescent="0.35">
      <c r="A887" s="3" t="s">
        <v>7</v>
      </c>
      <c r="B887" s="3">
        <v>884</v>
      </c>
      <c r="C887" s="3">
        <v>295</v>
      </c>
      <c r="D887" s="15">
        <v>68</v>
      </c>
      <c r="E887" s="1">
        <f t="shared" si="78"/>
        <v>1.3888888888888099E-2</v>
      </c>
      <c r="F887">
        <f t="shared" si="79"/>
        <v>117.28038518518481</v>
      </c>
      <c r="G887">
        <f t="shared" si="80"/>
        <v>632.89684972215696</v>
      </c>
      <c r="I887">
        <f t="shared" si="81"/>
        <v>5.5555555555555556E-4</v>
      </c>
      <c r="J887">
        <f t="shared" si="82"/>
        <v>0.16288942386831223</v>
      </c>
      <c r="K887">
        <f t="shared" si="83"/>
        <v>1.5189524393331768</v>
      </c>
    </row>
    <row r="888" spans="1:11" x14ac:dyDescent="0.35">
      <c r="A888" s="3" t="s">
        <v>7</v>
      </c>
      <c r="B888" s="3">
        <v>885</v>
      </c>
      <c r="C888" s="3">
        <v>296</v>
      </c>
      <c r="D888" s="15">
        <v>68.099999999999994</v>
      </c>
      <c r="E888" s="1">
        <f t="shared" si="78"/>
        <v>5.5555555555556344E-2</v>
      </c>
      <c r="F888">
        <f t="shared" si="79"/>
        <v>136.40944075000036</v>
      </c>
      <c r="G888">
        <f t="shared" si="80"/>
        <v>633.82758038351301</v>
      </c>
      <c r="I888">
        <f t="shared" si="81"/>
        <v>5.5555555555555556E-4</v>
      </c>
      <c r="J888">
        <f t="shared" si="82"/>
        <v>0.18945755659722271</v>
      </c>
      <c r="K888">
        <f t="shared" si="83"/>
        <v>1.5211861929204311</v>
      </c>
    </row>
    <row r="889" spans="1:11" x14ac:dyDescent="0.35">
      <c r="A889" s="3" t="s">
        <v>7</v>
      </c>
      <c r="B889" s="3">
        <v>886</v>
      </c>
      <c r="C889" s="3">
        <v>297</v>
      </c>
      <c r="D889" s="15">
        <v>68.400000000000006</v>
      </c>
      <c r="E889" s="1">
        <f t="shared" si="78"/>
        <v>6.9444444444444448E-2</v>
      </c>
      <c r="F889">
        <f t="shared" si="79"/>
        <v>143.13107866666667</v>
      </c>
      <c r="G889">
        <f t="shared" si="80"/>
        <v>636.61977236758139</v>
      </c>
      <c r="I889">
        <f t="shared" si="81"/>
        <v>5.5555555555555556E-4</v>
      </c>
      <c r="J889">
        <f t="shared" si="82"/>
        <v>0.19879316481481482</v>
      </c>
      <c r="K889">
        <f t="shared" si="83"/>
        <v>1.5278874536821954</v>
      </c>
    </row>
    <row r="890" spans="1:11" x14ac:dyDescent="0.35">
      <c r="A890" s="3" t="s">
        <v>7</v>
      </c>
      <c r="B890" s="3">
        <v>887</v>
      </c>
      <c r="C890" s="3">
        <v>298</v>
      </c>
      <c r="D890" s="15">
        <v>68.599999999999994</v>
      </c>
      <c r="E890" s="1">
        <f t="shared" si="78"/>
        <v>4.1666666666666269E-2</v>
      </c>
      <c r="F890">
        <f t="shared" si="79"/>
        <v>130.72422996296277</v>
      </c>
      <c r="G890">
        <f t="shared" si="80"/>
        <v>638.48123369029361</v>
      </c>
      <c r="I890">
        <f t="shared" si="81"/>
        <v>5.5555555555555556E-4</v>
      </c>
      <c r="J890">
        <f t="shared" si="82"/>
        <v>0.18156143050411494</v>
      </c>
      <c r="K890">
        <f t="shared" si="83"/>
        <v>1.5323549608567046</v>
      </c>
    </row>
    <row r="891" spans="1:11" x14ac:dyDescent="0.35">
      <c r="A891" s="3" t="s">
        <v>7</v>
      </c>
      <c r="B891" s="3">
        <v>888</v>
      </c>
      <c r="C891" s="3">
        <v>299</v>
      </c>
      <c r="D891" s="15">
        <v>68.7</v>
      </c>
      <c r="E891" s="1">
        <f t="shared" si="78"/>
        <v>-1.3888888888888099E-2</v>
      </c>
      <c r="F891">
        <f t="shared" si="79"/>
        <v>105.52109008333369</v>
      </c>
      <c r="G891">
        <f t="shared" si="80"/>
        <v>639.41196435164977</v>
      </c>
      <c r="I891">
        <f t="shared" si="81"/>
        <v>5.5555555555555556E-4</v>
      </c>
      <c r="J891">
        <f t="shared" si="82"/>
        <v>0.14655706956018569</v>
      </c>
      <c r="K891">
        <f t="shared" si="83"/>
        <v>1.5345887144439594</v>
      </c>
    </row>
    <row r="892" spans="1:11" x14ac:dyDescent="0.35">
      <c r="A892" s="3" t="s">
        <v>7</v>
      </c>
      <c r="B892" s="3">
        <v>889</v>
      </c>
      <c r="C892" s="3">
        <v>300</v>
      </c>
      <c r="D892" s="15">
        <v>68.5</v>
      </c>
      <c r="E892" s="1">
        <f t="shared" si="78"/>
        <v>-8.3333333333334522E-2</v>
      </c>
      <c r="F892">
        <f t="shared" si="79"/>
        <v>73.594226157406865</v>
      </c>
      <c r="G892">
        <f t="shared" si="80"/>
        <v>637.55050302893756</v>
      </c>
      <c r="I892">
        <f t="shared" si="81"/>
        <v>5.5555555555555556E-4</v>
      </c>
      <c r="J892">
        <f t="shared" si="82"/>
        <v>0.10221420299639843</v>
      </c>
      <c r="K892">
        <f t="shared" si="83"/>
        <v>1.5301212072694501</v>
      </c>
    </row>
    <row r="893" spans="1:11" x14ac:dyDescent="0.35">
      <c r="A893" s="3" t="s">
        <v>7</v>
      </c>
      <c r="B893" s="3">
        <v>890</v>
      </c>
      <c r="C893" s="3">
        <v>301</v>
      </c>
      <c r="D893" s="15">
        <v>68.099999999999994</v>
      </c>
      <c r="E893" s="1">
        <f t="shared" si="78"/>
        <v>-0.16666666666666705</v>
      </c>
      <c r="F893">
        <f t="shared" si="79"/>
        <v>35.076107416666488</v>
      </c>
      <c r="G893">
        <f t="shared" si="80"/>
        <v>633.82758038351301</v>
      </c>
      <c r="I893">
        <f t="shared" si="81"/>
        <v>5.5555555555555556E-4</v>
      </c>
      <c r="J893">
        <f t="shared" si="82"/>
        <v>4.8716815856481237E-2</v>
      </c>
      <c r="K893">
        <f t="shared" si="83"/>
        <v>1.5211861929204311</v>
      </c>
    </row>
    <row r="894" spans="1:11" x14ac:dyDescent="0.35">
      <c r="A894" s="3" t="s">
        <v>7</v>
      </c>
      <c r="B894" s="3">
        <v>891</v>
      </c>
      <c r="C894" s="3">
        <v>302</v>
      </c>
      <c r="D894" s="15">
        <v>67.3</v>
      </c>
      <c r="E894" s="1">
        <f t="shared" si="78"/>
        <v>-0.26388888888888767</v>
      </c>
      <c r="F894">
        <f t="shared" si="79"/>
        <v>0</v>
      </c>
      <c r="G894">
        <f t="shared" si="80"/>
        <v>626.38173509266414</v>
      </c>
      <c r="I894">
        <f t="shared" si="81"/>
        <v>5.5555555555555556E-4</v>
      </c>
      <c r="J894">
        <f t="shared" si="82"/>
        <v>0</v>
      </c>
      <c r="K894">
        <f t="shared" si="83"/>
        <v>1.503316164222394</v>
      </c>
    </row>
    <row r="895" spans="1:11" x14ac:dyDescent="0.35">
      <c r="A895" s="3" t="s">
        <v>7</v>
      </c>
      <c r="B895" s="3">
        <v>892</v>
      </c>
      <c r="C895" s="3">
        <v>303</v>
      </c>
      <c r="D895" s="15">
        <v>66.2</v>
      </c>
      <c r="E895" s="1">
        <f t="shared" si="78"/>
        <v>-0.34722222222222221</v>
      </c>
      <c r="F895">
        <f t="shared" si="79"/>
        <v>0</v>
      </c>
      <c r="G895">
        <f t="shared" si="80"/>
        <v>616.1436978177469</v>
      </c>
      <c r="I895">
        <f t="shared" si="81"/>
        <v>5.5555555555555556E-4</v>
      </c>
      <c r="J895">
        <f t="shared" si="82"/>
        <v>0</v>
      </c>
      <c r="K895">
        <f t="shared" si="83"/>
        <v>1.4787448747625924</v>
      </c>
    </row>
    <row r="896" spans="1:11" x14ac:dyDescent="0.35">
      <c r="A896" s="3" t="s">
        <v>7</v>
      </c>
      <c r="B896" s="3">
        <v>893</v>
      </c>
      <c r="C896" s="3">
        <v>304</v>
      </c>
      <c r="D896" s="15">
        <v>64.8</v>
      </c>
      <c r="E896" s="1">
        <f t="shared" si="78"/>
        <v>-0.36111111111111133</v>
      </c>
      <c r="F896">
        <f t="shared" si="79"/>
        <v>0</v>
      </c>
      <c r="G896">
        <f t="shared" si="80"/>
        <v>603.11346855876138</v>
      </c>
      <c r="I896">
        <f t="shared" si="81"/>
        <v>5.5555555555555556E-4</v>
      </c>
      <c r="J896">
        <f t="shared" si="82"/>
        <v>0</v>
      </c>
      <c r="K896">
        <f t="shared" si="83"/>
        <v>1.4474723245410275</v>
      </c>
    </row>
    <row r="897" spans="1:11" x14ac:dyDescent="0.35">
      <c r="A897" s="3" t="s">
        <v>7</v>
      </c>
      <c r="B897" s="3">
        <v>894</v>
      </c>
      <c r="C897" s="3">
        <v>305</v>
      </c>
      <c r="D897" s="15">
        <v>63.6</v>
      </c>
      <c r="E897" s="1">
        <f t="shared" si="78"/>
        <v>-0.30555555555555497</v>
      </c>
      <c r="F897">
        <f t="shared" si="79"/>
        <v>0</v>
      </c>
      <c r="G897">
        <f t="shared" si="80"/>
        <v>591.94470062248797</v>
      </c>
      <c r="I897">
        <f t="shared" si="81"/>
        <v>5.5555555555555556E-4</v>
      </c>
      <c r="J897">
        <f t="shared" si="82"/>
        <v>0</v>
      </c>
      <c r="K897">
        <f t="shared" si="83"/>
        <v>1.4206672814939711</v>
      </c>
    </row>
    <row r="898" spans="1:11" x14ac:dyDescent="0.35">
      <c r="A898" s="3" t="s">
        <v>7</v>
      </c>
      <c r="B898" s="3">
        <v>895</v>
      </c>
      <c r="C898" s="3">
        <v>306</v>
      </c>
      <c r="D898" s="15">
        <v>62.6</v>
      </c>
      <c r="E898" s="1">
        <f t="shared" si="78"/>
        <v>-0.20833333333333331</v>
      </c>
      <c r="F898">
        <f t="shared" si="79"/>
        <v>9.2596788518518593</v>
      </c>
      <c r="G898">
        <f t="shared" si="80"/>
        <v>582.63739400892689</v>
      </c>
      <c r="I898">
        <f t="shared" si="81"/>
        <v>5.5555555555555556E-4</v>
      </c>
      <c r="J898">
        <f t="shared" si="82"/>
        <v>1.2860665072016471E-2</v>
      </c>
      <c r="K898">
        <f t="shared" si="83"/>
        <v>1.3983297456214248</v>
      </c>
    </row>
    <row r="899" spans="1:11" x14ac:dyDescent="0.35">
      <c r="A899" s="3" t="s">
        <v>7</v>
      </c>
      <c r="B899" s="3">
        <v>896</v>
      </c>
      <c r="C899" s="3">
        <v>307</v>
      </c>
      <c r="D899" s="15">
        <v>62.1</v>
      </c>
      <c r="E899" s="1">
        <f t="shared" si="78"/>
        <v>-9.7222222222222612E-2</v>
      </c>
      <c r="F899">
        <f t="shared" si="79"/>
        <v>59.335117416666492</v>
      </c>
      <c r="G899">
        <f t="shared" si="80"/>
        <v>577.98374070214629</v>
      </c>
      <c r="I899">
        <f t="shared" si="81"/>
        <v>5.5555555555555556E-4</v>
      </c>
      <c r="J899">
        <f t="shared" si="82"/>
        <v>8.2409885300925689E-2</v>
      </c>
      <c r="K899">
        <f t="shared" si="83"/>
        <v>1.387160977685151</v>
      </c>
    </row>
    <row r="900" spans="1:11" x14ac:dyDescent="0.35">
      <c r="A900" s="3" t="s">
        <v>7</v>
      </c>
      <c r="B900" s="3">
        <v>897</v>
      </c>
      <c r="C900" s="3">
        <v>308</v>
      </c>
      <c r="D900" s="15">
        <v>61.9</v>
      </c>
      <c r="E900" s="1">
        <f t="shared" si="78"/>
        <v>-2.7777777777778172E-2</v>
      </c>
      <c r="F900">
        <f t="shared" si="79"/>
        <v>90.76662037962943</v>
      </c>
      <c r="G900">
        <f t="shared" si="80"/>
        <v>576.12227937943408</v>
      </c>
      <c r="I900">
        <f t="shared" si="81"/>
        <v>5.5555555555555556E-4</v>
      </c>
      <c r="J900">
        <f t="shared" si="82"/>
        <v>0.1260647505272631</v>
      </c>
      <c r="K900">
        <f t="shared" si="83"/>
        <v>1.3826934705106417</v>
      </c>
    </row>
    <row r="901" spans="1:11" x14ac:dyDescent="0.35">
      <c r="A901" s="3" t="s">
        <v>7</v>
      </c>
      <c r="B901" s="3">
        <v>898</v>
      </c>
      <c r="C901" s="3">
        <v>309</v>
      </c>
      <c r="D901" s="15">
        <v>61.9</v>
      </c>
      <c r="E901" s="1">
        <f t="shared" ref="E901:E964" si="84">($D902-$D900)/2/3.6</f>
        <v>-1.3888888888889086E-2</v>
      </c>
      <c r="F901">
        <f t="shared" ref="F901:F964" si="85">IF(D901=0,0,MAX(0,0.285*(1600*E901 + 1600*9.81*0.015 + 0.5*1.225*0.32*2.2*(D901/3.6)^2)))</f>
        <v>97.099953712962858</v>
      </c>
      <c r="G901">
        <f t="shared" ref="G901:G964" si="86">60*D901/(2*PI()*3.6*0.285)</f>
        <v>576.12227937943408</v>
      </c>
      <c r="I901">
        <f t="shared" ref="I901:I964" si="87">1/1800</f>
        <v>5.5555555555555556E-4</v>
      </c>
      <c r="J901">
        <f t="shared" ref="J901:J964" si="88">F901/(M$3*3.6)</f>
        <v>0.13486104682355954</v>
      </c>
      <c r="K901">
        <f t="shared" ref="K901:K964" si="89">G901*3.6/N$3</f>
        <v>1.3826934705106417</v>
      </c>
    </row>
    <row r="902" spans="1:11" x14ac:dyDescent="0.35">
      <c r="A902" s="3" t="s">
        <v>7</v>
      </c>
      <c r="B902" s="3">
        <v>899</v>
      </c>
      <c r="C902" s="3">
        <v>310</v>
      </c>
      <c r="D902" s="15">
        <v>61.8</v>
      </c>
      <c r="E902" s="1">
        <f t="shared" si="84"/>
        <v>-5.5555555555555358E-2</v>
      </c>
      <c r="F902">
        <f t="shared" si="85"/>
        <v>77.982656333333395</v>
      </c>
      <c r="G902">
        <f t="shared" si="86"/>
        <v>575.19154871807791</v>
      </c>
      <c r="I902">
        <f t="shared" si="87"/>
        <v>5.5555555555555556E-4</v>
      </c>
      <c r="J902">
        <f t="shared" si="88"/>
        <v>0.1083092449074075</v>
      </c>
      <c r="K902">
        <f t="shared" si="89"/>
        <v>1.380459716923387</v>
      </c>
    </row>
    <row r="903" spans="1:11" x14ac:dyDescent="0.35">
      <c r="A903" s="3" t="s">
        <v>7</v>
      </c>
      <c r="B903" s="3">
        <v>900</v>
      </c>
      <c r="C903" s="3">
        <v>311</v>
      </c>
      <c r="D903" s="15">
        <v>61.5</v>
      </c>
      <c r="E903" s="1">
        <f t="shared" si="84"/>
        <v>-0.12499999999999981</v>
      </c>
      <c r="F903">
        <f t="shared" si="85"/>
        <v>45.965235416666751</v>
      </c>
      <c r="G903">
        <f t="shared" si="86"/>
        <v>572.39935673400964</v>
      </c>
      <c r="I903">
        <f t="shared" si="87"/>
        <v>5.5555555555555556E-4</v>
      </c>
      <c r="J903">
        <f t="shared" si="88"/>
        <v>6.3840604745370483E-2</v>
      </c>
      <c r="K903">
        <f t="shared" si="89"/>
        <v>1.3737584561616232</v>
      </c>
    </row>
    <row r="904" spans="1:11" x14ac:dyDescent="0.35">
      <c r="A904" s="3" t="s">
        <v>7</v>
      </c>
      <c r="B904" s="3">
        <v>901</v>
      </c>
      <c r="C904" s="3">
        <v>312</v>
      </c>
      <c r="D904" s="15">
        <v>60.9</v>
      </c>
      <c r="E904" s="1">
        <f t="shared" si="84"/>
        <v>-0.24999999999999961</v>
      </c>
      <c r="F904">
        <f t="shared" si="85"/>
        <v>0</v>
      </c>
      <c r="G904">
        <f t="shared" si="86"/>
        <v>566.81497276587288</v>
      </c>
      <c r="I904">
        <f t="shared" si="87"/>
        <v>5.5555555555555556E-4</v>
      </c>
      <c r="J904">
        <f t="shared" si="88"/>
        <v>0</v>
      </c>
      <c r="K904">
        <f t="shared" si="89"/>
        <v>1.3603559346380949</v>
      </c>
    </row>
    <row r="905" spans="1:11" x14ac:dyDescent="0.35">
      <c r="A905" s="3" t="s">
        <v>7</v>
      </c>
      <c r="B905" s="3">
        <v>902</v>
      </c>
      <c r="C905" s="3">
        <v>313</v>
      </c>
      <c r="D905" s="15">
        <v>59.7</v>
      </c>
      <c r="E905" s="1">
        <f t="shared" si="84"/>
        <v>-0.87499999999999956</v>
      </c>
      <c r="F905">
        <f t="shared" si="85"/>
        <v>0</v>
      </c>
      <c r="G905">
        <f t="shared" si="86"/>
        <v>555.64620482959958</v>
      </c>
      <c r="I905">
        <f t="shared" si="87"/>
        <v>5.5555555555555556E-4</v>
      </c>
      <c r="J905">
        <f t="shared" si="88"/>
        <v>0</v>
      </c>
      <c r="K905">
        <f t="shared" si="89"/>
        <v>1.333550891591039</v>
      </c>
    </row>
    <row r="906" spans="1:11" x14ac:dyDescent="0.35">
      <c r="A906" s="3" t="s">
        <v>7</v>
      </c>
      <c r="B906" s="3">
        <v>903</v>
      </c>
      <c r="C906" s="3">
        <v>314</v>
      </c>
      <c r="D906" s="15">
        <v>54.6</v>
      </c>
      <c r="E906" s="1">
        <f t="shared" si="84"/>
        <v>-1.4444444444444453</v>
      </c>
      <c r="F906">
        <f t="shared" si="85"/>
        <v>0</v>
      </c>
      <c r="G906">
        <f t="shared" si="86"/>
        <v>508.17894110043778</v>
      </c>
      <c r="I906">
        <f t="shared" si="87"/>
        <v>5.5555555555555556E-4</v>
      </c>
      <c r="J906">
        <f t="shared" si="88"/>
        <v>0</v>
      </c>
      <c r="K906">
        <f t="shared" si="89"/>
        <v>1.2196294586410508</v>
      </c>
    </row>
    <row r="907" spans="1:11" x14ac:dyDescent="0.35">
      <c r="A907" s="3" t="s">
        <v>7</v>
      </c>
      <c r="B907" s="3">
        <v>904</v>
      </c>
      <c r="C907" s="3">
        <v>315</v>
      </c>
      <c r="D907" s="15">
        <v>49.3</v>
      </c>
      <c r="E907" s="1">
        <f t="shared" si="84"/>
        <v>-1.3472222222222225</v>
      </c>
      <c r="F907">
        <f t="shared" si="85"/>
        <v>0</v>
      </c>
      <c r="G907">
        <f t="shared" si="86"/>
        <v>458.85021604856377</v>
      </c>
      <c r="I907">
        <f t="shared" si="87"/>
        <v>5.5555555555555556E-4</v>
      </c>
      <c r="J907">
        <f t="shared" si="88"/>
        <v>0</v>
      </c>
      <c r="K907">
        <f t="shared" si="89"/>
        <v>1.101240518516553</v>
      </c>
    </row>
    <row r="908" spans="1:11" x14ac:dyDescent="0.35">
      <c r="A908" s="3" t="s">
        <v>7</v>
      </c>
      <c r="B908" s="3">
        <v>905</v>
      </c>
      <c r="C908" s="3">
        <v>316</v>
      </c>
      <c r="D908" s="15">
        <v>44.9</v>
      </c>
      <c r="E908" s="1">
        <f t="shared" si="84"/>
        <v>-0.97222222222222221</v>
      </c>
      <c r="F908">
        <f t="shared" si="85"/>
        <v>0</v>
      </c>
      <c r="G908">
        <f t="shared" si="86"/>
        <v>417.89806694889484</v>
      </c>
      <c r="I908">
        <f t="shared" si="87"/>
        <v>5.5555555555555556E-4</v>
      </c>
      <c r="J908">
        <f t="shared" si="88"/>
        <v>0</v>
      </c>
      <c r="K908">
        <f t="shared" si="89"/>
        <v>1.0029553606773476</v>
      </c>
    </row>
    <row r="909" spans="1:11" x14ac:dyDescent="0.35">
      <c r="A909" s="3" t="s">
        <v>7</v>
      </c>
      <c r="B909" s="3">
        <v>906</v>
      </c>
      <c r="C909" s="3">
        <v>317</v>
      </c>
      <c r="D909" s="15">
        <v>42.3</v>
      </c>
      <c r="E909" s="1">
        <f t="shared" si="84"/>
        <v>-0.4861111111111111</v>
      </c>
      <c r="F909">
        <f t="shared" si="85"/>
        <v>0</v>
      </c>
      <c r="G909">
        <f t="shared" si="86"/>
        <v>393.69906975363585</v>
      </c>
      <c r="I909">
        <f t="shared" si="87"/>
        <v>5.5555555555555556E-4</v>
      </c>
      <c r="J909">
        <f t="shared" si="88"/>
        <v>0</v>
      </c>
      <c r="K909">
        <f t="shared" si="89"/>
        <v>0.94487776740872609</v>
      </c>
    </row>
    <row r="910" spans="1:11" x14ac:dyDescent="0.35">
      <c r="A910" s="3" t="s">
        <v>7</v>
      </c>
      <c r="B910" s="3">
        <v>907</v>
      </c>
      <c r="C910" s="3">
        <v>318</v>
      </c>
      <c r="D910" s="15">
        <v>41.4</v>
      </c>
      <c r="E910" s="1">
        <f t="shared" si="84"/>
        <v>-0.1388888888888889</v>
      </c>
      <c r="F910">
        <f t="shared" si="85"/>
        <v>20.019533666666664</v>
      </c>
      <c r="G910">
        <f t="shared" si="86"/>
        <v>385.32249380143082</v>
      </c>
      <c r="I910">
        <f t="shared" si="87"/>
        <v>5.5555555555555556E-4</v>
      </c>
      <c r="J910">
        <f t="shared" si="88"/>
        <v>2.7804907870370366E-2</v>
      </c>
      <c r="K910">
        <f t="shared" si="89"/>
        <v>0.92477398512343401</v>
      </c>
    </row>
    <row r="911" spans="1:11" x14ac:dyDescent="0.35">
      <c r="A911" s="3" t="s">
        <v>7</v>
      </c>
      <c r="B911" s="3">
        <v>908</v>
      </c>
      <c r="C911" s="3">
        <v>319</v>
      </c>
      <c r="D911" s="15">
        <v>41.3</v>
      </c>
      <c r="E911" s="1">
        <f t="shared" si="84"/>
        <v>9.7222222222222612E-2</v>
      </c>
      <c r="F911">
        <f t="shared" si="85"/>
        <v>127.60778082407424</v>
      </c>
      <c r="G911">
        <f t="shared" si="86"/>
        <v>384.39176314007472</v>
      </c>
      <c r="I911">
        <f t="shared" si="87"/>
        <v>5.5555555555555556E-4</v>
      </c>
      <c r="J911">
        <f t="shared" si="88"/>
        <v>0.17723302892232534</v>
      </c>
      <c r="K911">
        <f t="shared" si="89"/>
        <v>0.92254023153617937</v>
      </c>
    </row>
    <row r="912" spans="1:11" x14ac:dyDescent="0.35">
      <c r="A912" s="3" t="s">
        <v>7</v>
      </c>
      <c r="B912" s="3">
        <v>909</v>
      </c>
      <c r="C912" s="3">
        <v>320</v>
      </c>
      <c r="D912" s="15">
        <v>42.1</v>
      </c>
      <c r="E912" s="1">
        <f t="shared" si="84"/>
        <v>0.47222222222222299</v>
      </c>
      <c r="F912">
        <f t="shared" si="85"/>
        <v>299.24044704629659</v>
      </c>
      <c r="G912">
        <f t="shared" si="86"/>
        <v>391.83760843092364</v>
      </c>
      <c r="I912">
        <f t="shared" si="87"/>
        <v>5.5555555555555556E-4</v>
      </c>
      <c r="J912">
        <f t="shared" si="88"/>
        <v>0.41561173200874529</v>
      </c>
      <c r="K912">
        <f t="shared" si="89"/>
        <v>0.94041026023421681</v>
      </c>
    </row>
    <row r="913" spans="1:11" x14ac:dyDescent="0.35">
      <c r="A913" s="3" t="s">
        <v>7</v>
      </c>
      <c r="B913" s="3">
        <v>910</v>
      </c>
      <c r="C913" s="3">
        <v>321</v>
      </c>
      <c r="D913" s="15">
        <v>44.7</v>
      </c>
      <c r="E913" s="1">
        <f t="shared" si="84"/>
        <v>0.87499999999999956</v>
      </c>
      <c r="F913">
        <f t="shared" si="85"/>
        <v>485.04710341666646</v>
      </c>
      <c r="G913">
        <f t="shared" si="86"/>
        <v>416.03660562618256</v>
      </c>
      <c r="I913">
        <f t="shared" si="87"/>
        <v>5.5555555555555556E-4</v>
      </c>
      <c r="J913">
        <f t="shared" si="88"/>
        <v>0.67367653252314785</v>
      </c>
      <c r="K913">
        <f t="shared" si="89"/>
        <v>0.9984878535028382</v>
      </c>
    </row>
    <row r="914" spans="1:11" x14ac:dyDescent="0.35">
      <c r="A914" s="3" t="s">
        <v>7</v>
      </c>
      <c r="B914" s="3">
        <v>911</v>
      </c>
      <c r="C914" s="3">
        <v>322</v>
      </c>
      <c r="D914" s="15">
        <v>48.4</v>
      </c>
      <c r="E914" s="1">
        <f t="shared" si="84"/>
        <v>0.93055555555555491</v>
      </c>
      <c r="F914">
        <f t="shared" si="85"/>
        <v>513.64684162962931</v>
      </c>
      <c r="G914">
        <f t="shared" si="86"/>
        <v>450.47364009635879</v>
      </c>
      <c r="I914">
        <f t="shared" si="87"/>
        <v>5.5555555555555556E-4</v>
      </c>
      <c r="J914">
        <f t="shared" si="88"/>
        <v>0.71339839115226289</v>
      </c>
      <c r="K914">
        <f t="shared" si="89"/>
        <v>1.0811367362312612</v>
      </c>
    </row>
    <row r="915" spans="1:11" x14ac:dyDescent="0.35">
      <c r="A915" s="3" t="s">
        <v>7</v>
      </c>
      <c r="B915" s="3">
        <v>912</v>
      </c>
      <c r="C915" s="3">
        <v>323</v>
      </c>
      <c r="D915" s="15">
        <v>51.4</v>
      </c>
      <c r="E915" s="1">
        <f t="shared" si="84"/>
        <v>0.59722222222222276</v>
      </c>
      <c r="F915">
        <f t="shared" si="85"/>
        <v>364.48587440740761</v>
      </c>
      <c r="G915">
        <f t="shared" si="86"/>
        <v>478.39555993704215</v>
      </c>
      <c r="I915">
        <f t="shared" si="87"/>
        <v>5.5555555555555556E-4</v>
      </c>
      <c r="J915">
        <f t="shared" si="88"/>
        <v>0.50623038112139951</v>
      </c>
      <c r="K915">
        <f t="shared" si="89"/>
        <v>1.1481493438489012</v>
      </c>
    </row>
    <row r="916" spans="1:11" x14ac:dyDescent="0.35">
      <c r="A916" s="3" t="s">
        <v>7</v>
      </c>
      <c r="B916" s="3">
        <v>913</v>
      </c>
      <c r="C916" s="3">
        <v>324</v>
      </c>
      <c r="D916" s="15">
        <v>52.7</v>
      </c>
      <c r="E916" s="1">
        <f t="shared" si="84"/>
        <v>0.36111111111111133</v>
      </c>
      <c r="F916">
        <f t="shared" si="85"/>
        <v>258.10246193518526</v>
      </c>
      <c r="G916">
        <f t="shared" si="86"/>
        <v>490.49505853467161</v>
      </c>
      <c r="I916">
        <f t="shared" si="87"/>
        <v>5.5555555555555556E-4</v>
      </c>
      <c r="J916">
        <f t="shared" si="88"/>
        <v>0.35847564157664619</v>
      </c>
      <c r="K916">
        <f t="shared" si="89"/>
        <v>1.1771881404832119</v>
      </c>
    </row>
    <row r="917" spans="1:11" x14ac:dyDescent="0.35">
      <c r="A917" s="3" t="s">
        <v>7</v>
      </c>
      <c r="B917" s="3">
        <v>914</v>
      </c>
      <c r="C917" s="3">
        <v>325</v>
      </c>
      <c r="D917" s="15">
        <v>54</v>
      </c>
      <c r="E917" s="1">
        <f t="shared" si="84"/>
        <v>0.59722222222222177</v>
      </c>
      <c r="F917">
        <f t="shared" si="85"/>
        <v>367.0844333333331</v>
      </c>
      <c r="G917">
        <f t="shared" si="86"/>
        <v>502.59455713230113</v>
      </c>
      <c r="I917">
        <f t="shared" si="87"/>
        <v>5.5555555555555556E-4</v>
      </c>
      <c r="J917">
        <f t="shared" si="88"/>
        <v>0.50983949074074042</v>
      </c>
      <c r="K917">
        <f t="shared" si="89"/>
        <v>1.2062269371175227</v>
      </c>
    </row>
    <row r="918" spans="1:11" x14ac:dyDescent="0.35">
      <c r="A918" s="3" t="s">
        <v>7</v>
      </c>
      <c r="B918" s="3">
        <v>915</v>
      </c>
      <c r="C918" s="3">
        <v>326</v>
      </c>
      <c r="D918" s="15">
        <v>57</v>
      </c>
      <c r="E918" s="1">
        <f t="shared" si="84"/>
        <v>0.56944444444444464</v>
      </c>
      <c r="F918">
        <f t="shared" si="85"/>
        <v>357.57540833333343</v>
      </c>
      <c r="G918">
        <f t="shared" si="86"/>
        <v>530.51647697298449</v>
      </c>
      <c r="I918">
        <f t="shared" si="87"/>
        <v>5.5555555555555556E-4</v>
      </c>
      <c r="J918">
        <f t="shared" si="88"/>
        <v>0.49663251157407423</v>
      </c>
      <c r="K918">
        <f t="shared" si="89"/>
        <v>1.2732395447351628</v>
      </c>
    </row>
    <row r="919" spans="1:11" x14ac:dyDescent="0.35">
      <c r="A919" s="3" t="s">
        <v>7</v>
      </c>
      <c r="B919" s="3">
        <v>916</v>
      </c>
      <c r="C919" s="3">
        <v>327</v>
      </c>
      <c r="D919" s="15">
        <v>58.1</v>
      </c>
      <c r="E919" s="1">
        <f t="shared" si="84"/>
        <v>0.30555555555555597</v>
      </c>
      <c r="F919">
        <f t="shared" si="85"/>
        <v>238.44264260185201</v>
      </c>
      <c r="G919">
        <f t="shared" si="86"/>
        <v>540.75451424790174</v>
      </c>
      <c r="I919">
        <f t="shared" si="87"/>
        <v>5.5555555555555556E-4</v>
      </c>
      <c r="J919">
        <f t="shared" si="88"/>
        <v>0.3311703369470167</v>
      </c>
      <c r="K919">
        <f t="shared" si="89"/>
        <v>1.2978108341949641</v>
      </c>
    </row>
    <row r="920" spans="1:11" x14ac:dyDescent="0.35">
      <c r="A920" s="3" t="s">
        <v>7</v>
      </c>
      <c r="B920" s="3">
        <v>917</v>
      </c>
      <c r="C920" s="3">
        <v>328</v>
      </c>
      <c r="D920" s="15">
        <v>59.2</v>
      </c>
      <c r="E920" s="1">
        <f t="shared" si="84"/>
        <v>0.12499999999999981</v>
      </c>
      <c r="F920">
        <f t="shared" si="85"/>
        <v>157.33282429629622</v>
      </c>
      <c r="G920">
        <f t="shared" si="86"/>
        <v>550.99255152281899</v>
      </c>
      <c r="I920">
        <f t="shared" si="87"/>
        <v>5.5555555555555556E-4</v>
      </c>
      <c r="J920">
        <f t="shared" si="88"/>
        <v>0.21851781152263364</v>
      </c>
      <c r="K920">
        <f t="shared" si="89"/>
        <v>1.3223821236547655</v>
      </c>
    </row>
    <row r="921" spans="1:11" x14ac:dyDescent="0.35">
      <c r="A921" s="3" t="s">
        <v>7</v>
      </c>
      <c r="B921" s="3">
        <v>918</v>
      </c>
      <c r="C921" s="3">
        <v>329</v>
      </c>
      <c r="D921" s="15">
        <v>59</v>
      </c>
      <c r="E921" s="1">
        <f t="shared" si="84"/>
        <v>-1.3888888888889086E-2</v>
      </c>
      <c r="F921">
        <f t="shared" si="85"/>
        <v>93.775326851851759</v>
      </c>
      <c r="G921">
        <f t="shared" si="86"/>
        <v>549.13109020010677</v>
      </c>
      <c r="I921">
        <f t="shared" si="87"/>
        <v>5.5555555555555556E-4</v>
      </c>
      <c r="J921">
        <f t="shared" si="88"/>
        <v>0.13024350951646077</v>
      </c>
      <c r="K921">
        <f t="shared" si="89"/>
        <v>1.3179146164802562</v>
      </c>
    </row>
    <row r="922" spans="1:11" x14ac:dyDescent="0.35">
      <c r="A922" s="3" t="s">
        <v>7</v>
      </c>
      <c r="B922" s="3">
        <v>919</v>
      </c>
      <c r="C922" s="3">
        <v>330</v>
      </c>
      <c r="D922" s="15">
        <v>59.1</v>
      </c>
      <c r="E922" s="1">
        <f t="shared" si="84"/>
        <v>6.9444444444444448E-2</v>
      </c>
      <c r="F922">
        <f t="shared" si="85"/>
        <v>131.88731408333334</v>
      </c>
      <c r="G922">
        <f t="shared" si="86"/>
        <v>550.06182086146293</v>
      </c>
      <c r="I922">
        <f t="shared" si="87"/>
        <v>5.5555555555555556E-4</v>
      </c>
      <c r="J922">
        <f t="shared" si="88"/>
        <v>0.18317682511574074</v>
      </c>
      <c r="K922">
        <f t="shared" si="89"/>
        <v>1.3201483700675112</v>
      </c>
    </row>
    <row r="923" spans="1:11" x14ac:dyDescent="0.35">
      <c r="A923" s="3" t="s">
        <v>7</v>
      </c>
      <c r="B923" s="3">
        <v>920</v>
      </c>
      <c r="C923" s="3">
        <v>331</v>
      </c>
      <c r="D923" s="15">
        <v>59.5</v>
      </c>
      <c r="E923" s="1">
        <f t="shared" si="84"/>
        <v>0.19444444444444425</v>
      </c>
      <c r="F923">
        <f t="shared" si="85"/>
        <v>189.33715949074065</v>
      </c>
      <c r="G923">
        <f t="shared" si="86"/>
        <v>553.78474350688737</v>
      </c>
      <c r="I923">
        <f t="shared" si="87"/>
        <v>5.5555555555555556E-4</v>
      </c>
      <c r="J923">
        <f t="shared" si="88"/>
        <v>0.2629682770704731</v>
      </c>
      <c r="K923">
        <f t="shared" si="89"/>
        <v>1.3290833844165297</v>
      </c>
    </row>
    <row r="924" spans="1:11" x14ac:dyDescent="0.35">
      <c r="A924" s="3" t="s">
        <v>7</v>
      </c>
      <c r="B924" s="3">
        <v>921</v>
      </c>
      <c r="C924" s="3">
        <v>332</v>
      </c>
      <c r="D924" s="15">
        <v>60.5</v>
      </c>
      <c r="E924" s="1">
        <f t="shared" si="84"/>
        <v>0.38888888888888851</v>
      </c>
      <c r="F924">
        <f t="shared" si="85"/>
        <v>279.1417150462961</v>
      </c>
      <c r="G924">
        <f t="shared" si="86"/>
        <v>563.09205012044845</v>
      </c>
      <c r="I924">
        <f t="shared" si="87"/>
        <v>5.5555555555555556E-4</v>
      </c>
      <c r="J924">
        <f t="shared" si="88"/>
        <v>0.38769682645318904</v>
      </c>
      <c r="K924">
        <f t="shared" si="89"/>
        <v>1.3514209202890763</v>
      </c>
    </row>
    <row r="925" spans="1:11" x14ac:dyDescent="0.35">
      <c r="A925" s="3" t="s">
        <v>7</v>
      </c>
      <c r="B925" s="3">
        <v>922</v>
      </c>
      <c r="C925" s="3">
        <v>333</v>
      </c>
      <c r="D925" s="15">
        <v>62.3</v>
      </c>
      <c r="E925" s="1">
        <f t="shared" si="84"/>
        <v>0.47222222222222199</v>
      </c>
      <c r="F925">
        <f t="shared" si="85"/>
        <v>319.23770637962951</v>
      </c>
      <c r="G925">
        <f t="shared" si="86"/>
        <v>579.84520202485851</v>
      </c>
      <c r="I925">
        <f t="shared" si="87"/>
        <v>5.5555555555555556E-4</v>
      </c>
      <c r="J925">
        <f t="shared" si="88"/>
        <v>0.44338570330504101</v>
      </c>
      <c r="K925">
        <f t="shared" si="89"/>
        <v>1.3916284848596605</v>
      </c>
    </row>
    <row r="926" spans="1:11" x14ac:dyDescent="0.35">
      <c r="A926" s="3" t="s">
        <v>7</v>
      </c>
      <c r="B926" s="3">
        <v>923</v>
      </c>
      <c r="C926" s="3">
        <v>334</v>
      </c>
      <c r="D926" s="15">
        <v>63.9</v>
      </c>
      <c r="E926" s="1">
        <f t="shared" si="84"/>
        <v>0.38888888888888851</v>
      </c>
      <c r="F926">
        <f t="shared" si="85"/>
        <v>283.15239408333315</v>
      </c>
      <c r="G926">
        <f t="shared" si="86"/>
        <v>594.73689260655635</v>
      </c>
      <c r="I926">
        <f t="shared" si="87"/>
        <v>5.5555555555555556E-4</v>
      </c>
      <c r="J926">
        <f t="shared" si="88"/>
        <v>0.39326721400462938</v>
      </c>
      <c r="K926">
        <f t="shared" si="89"/>
        <v>1.4273685422557352</v>
      </c>
    </row>
    <row r="927" spans="1:11" x14ac:dyDescent="0.35">
      <c r="A927" s="3" t="s">
        <v>7</v>
      </c>
      <c r="B927" s="3">
        <v>924</v>
      </c>
      <c r="C927" s="3">
        <v>335</v>
      </c>
      <c r="D927" s="15">
        <v>65.099999999999994</v>
      </c>
      <c r="E927" s="1">
        <f t="shared" si="84"/>
        <v>2.7777777777777186E-2</v>
      </c>
      <c r="F927">
        <f t="shared" si="85"/>
        <v>119.95360408333305</v>
      </c>
      <c r="G927">
        <f t="shared" si="86"/>
        <v>605.90566054282965</v>
      </c>
      <c r="I927">
        <f t="shared" si="87"/>
        <v>5.5555555555555556E-4</v>
      </c>
      <c r="J927">
        <f t="shared" si="88"/>
        <v>0.16660222789351811</v>
      </c>
      <c r="K927">
        <f t="shared" si="89"/>
        <v>1.4541735853027913</v>
      </c>
    </row>
    <row r="928" spans="1:11" x14ac:dyDescent="0.35">
      <c r="A928" s="3" t="s">
        <v>7</v>
      </c>
      <c r="B928" s="3">
        <v>925</v>
      </c>
      <c r="C928" s="3">
        <v>336</v>
      </c>
      <c r="D928" s="15">
        <v>64.099999999999994</v>
      </c>
      <c r="E928" s="1">
        <f t="shared" si="84"/>
        <v>-0.33333333333333215</v>
      </c>
      <c r="F928">
        <f t="shared" si="85"/>
        <v>0</v>
      </c>
      <c r="G928">
        <f t="shared" si="86"/>
        <v>596.59835392926846</v>
      </c>
      <c r="I928">
        <f t="shared" si="87"/>
        <v>5.5555555555555556E-4</v>
      </c>
      <c r="J928">
        <f t="shared" si="88"/>
        <v>0</v>
      </c>
      <c r="K928">
        <f t="shared" si="89"/>
        <v>1.4318360494302442</v>
      </c>
    </row>
    <row r="929" spans="1:11" x14ac:dyDescent="0.35">
      <c r="A929" s="3" t="s">
        <v>7</v>
      </c>
      <c r="B929" s="3">
        <v>926</v>
      </c>
      <c r="C929" s="3">
        <v>337</v>
      </c>
      <c r="D929" s="15">
        <v>62.7</v>
      </c>
      <c r="E929" s="1">
        <f t="shared" si="84"/>
        <v>-0.29166666666666585</v>
      </c>
      <c r="F929">
        <f t="shared" si="85"/>
        <v>0</v>
      </c>
      <c r="G929">
        <f t="shared" si="86"/>
        <v>583.56812467028294</v>
      </c>
      <c r="I929">
        <f t="shared" si="87"/>
        <v>5.5555555555555556E-4</v>
      </c>
      <c r="J929">
        <f t="shared" si="88"/>
        <v>0</v>
      </c>
      <c r="K929">
        <f t="shared" si="89"/>
        <v>1.4005634992086793</v>
      </c>
    </row>
    <row r="930" spans="1:11" x14ac:dyDescent="0.35">
      <c r="A930" s="3" t="s">
        <v>7</v>
      </c>
      <c r="B930" s="3">
        <v>927</v>
      </c>
      <c r="C930" s="3">
        <v>338</v>
      </c>
      <c r="D930" s="15">
        <v>62</v>
      </c>
      <c r="E930" s="1">
        <f t="shared" si="84"/>
        <v>-0.19444444444444522</v>
      </c>
      <c r="F930">
        <f t="shared" si="85"/>
        <v>14.884107407407054</v>
      </c>
      <c r="G930">
        <f t="shared" si="86"/>
        <v>577.05301004079013</v>
      </c>
      <c r="I930">
        <f t="shared" si="87"/>
        <v>5.5555555555555556E-4</v>
      </c>
      <c r="J930">
        <f t="shared" si="88"/>
        <v>2.0672371399176465E-2</v>
      </c>
      <c r="K930">
        <f t="shared" si="89"/>
        <v>1.3849272240978963</v>
      </c>
    </row>
    <row r="931" spans="1:11" x14ac:dyDescent="0.35">
      <c r="A931" s="3" t="s">
        <v>7</v>
      </c>
      <c r="B931" s="3">
        <v>928</v>
      </c>
      <c r="C931" s="3">
        <v>339</v>
      </c>
      <c r="D931" s="15">
        <v>61.3</v>
      </c>
      <c r="E931" s="1">
        <f t="shared" si="84"/>
        <v>-0.15277777777777798</v>
      </c>
      <c r="F931">
        <f t="shared" si="85"/>
        <v>33.065680824073972</v>
      </c>
      <c r="G931">
        <f t="shared" si="86"/>
        <v>570.53789541129743</v>
      </c>
      <c r="I931">
        <f t="shared" si="87"/>
        <v>5.5555555555555556E-4</v>
      </c>
      <c r="J931">
        <f t="shared" si="88"/>
        <v>4.5924556700102738E-2</v>
      </c>
      <c r="K931">
        <f t="shared" si="89"/>
        <v>1.3692909489871139</v>
      </c>
    </row>
    <row r="932" spans="1:11" x14ac:dyDescent="0.35">
      <c r="A932" s="3" t="s">
        <v>7</v>
      </c>
      <c r="B932" s="3">
        <v>929</v>
      </c>
      <c r="C932" s="3">
        <v>340</v>
      </c>
      <c r="D932" s="15">
        <v>60.9</v>
      </c>
      <c r="E932" s="1">
        <f t="shared" si="84"/>
        <v>-0.11111111111111072</v>
      </c>
      <c r="F932">
        <f t="shared" si="85"/>
        <v>51.602180750000166</v>
      </c>
      <c r="G932">
        <f t="shared" si="86"/>
        <v>566.81497276587288</v>
      </c>
      <c r="I932">
        <f t="shared" si="87"/>
        <v>5.5555555555555556E-4</v>
      </c>
      <c r="J932">
        <f t="shared" si="88"/>
        <v>7.1669695486111337E-2</v>
      </c>
      <c r="K932">
        <f t="shared" si="89"/>
        <v>1.3603559346380949</v>
      </c>
    </row>
    <row r="933" spans="1:11" x14ac:dyDescent="0.35">
      <c r="A933" s="3" t="s">
        <v>7</v>
      </c>
      <c r="B933" s="3">
        <v>930</v>
      </c>
      <c r="C933" s="3">
        <v>341</v>
      </c>
      <c r="D933" s="15">
        <v>60.5</v>
      </c>
      <c r="E933" s="1">
        <f t="shared" si="84"/>
        <v>-9.7222222222221627E-2</v>
      </c>
      <c r="F933">
        <f t="shared" si="85"/>
        <v>57.475048379629889</v>
      </c>
      <c r="G933">
        <f t="shared" si="86"/>
        <v>563.09205012044845</v>
      </c>
      <c r="I933">
        <f t="shared" si="87"/>
        <v>5.5555555555555556E-4</v>
      </c>
      <c r="J933">
        <f t="shared" si="88"/>
        <v>7.9826456082819297E-2</v>
      </c>
      <c r="K933">
        <f t="shared" si="89"/>
        <v>1.3514209202890763</v>
      </c>
    </row>
    <row r="934" spans="1:11" x14ac:dyDescent="0.35">
      <c r="A934" s="3" t="s">
        <v>7</v>
      </c>
      <c r="B934" s="3">
        <v>931</v>
      </c>
      <c r="C934" s="3">
        <v>342</v>
      </c>
      <c r="D934" s="15">
        <v>60.2</v>
      </c>
      <c r="E934" s="1">
        <f t="shared" si="84"/>
        <v>-9.7222222222222612E-2</v>
      </c>
      <c r="F934">
        <f t="shared" si="85"/>
        <v>57.131690407407227</v>
      </c>
      <c r="G934">
        <f t="shared" si="86"/>
        <v>560.29985813638018</v>
      </c>
      <c r="I934">
        <f t="shared" si="87"/>
        <v>5.5555555555555556E-4</v>
      </c>
      <c r="J934">
        <f t="shared" si="88"/>
        <v>7.934957001028782E-2</v>
      </c>
      <c r="K934">
        <f t="shared" si="89"/>
        <v>1.3447196595273125</v>
      </c>
    </row>
    <row r="935" spans="1:11" x14ac:dyDescent="0.35">
      <c r="A935" s="3" t="s">
        <v>7</v>
      </c>
      <c r="B935" s="3">
        <v>932</v>
      </c>
      <c r="C935" s="3">
        <v>343</v>
      </c>
      <c r="D935" s="15">
        <v>59.8</v>
      </c>
      <c r="E935" s="1">
        <f t="shared" si="84"/>
        <v>-0.1111111111111117</v>
      </c>
      <c r="F935">
        <f t="shared" si="85"/>
        <v>50.343201518518242</v>
      </c>
      <c r="G935">
        <f t="shared" si="86"/>
        <v>556.57693549095563</v>
      </c>
      <c r="I935">
        <f t="shared" si="87"/>
        <v>5.5555555555555556E-4</v>
      </c>
      <c r="J935">
        <f t="shared" si="88"/>
        <v>6.9921113220164227E-2</v>
      </c>
      <c r="K935">
        <f t="shared" si="89"/>
        <v>1.3357846451782935</v>
      </c>
    </row>
    <row r="936" spans="1:11" x14ac:dyDescent="0.35">
      <c r="A936" s="3" t="s">
        <v>7</v>
      </c>
      <c r="B936" s="3">
        <v>933</v>
      </c>
      <c r="C936" s="3">
        <v>344</v>
      </c>
      <c r="D936" s="15">
        <v>59.4</v>
      </c>
      <c r="E936" s="1">
        <f t="shared" si="84"/>
        <v>-0.16666666666666607</v>
      </c>
      <c r="F936">
        <f t="shared" si="85"/>
        <v>24.557747000000269</v>
      </c>
      <c r="G936">
        <f t="shared" si="86"/>
        <v>552.8540128455312</v>
      </c>
      <c r="I936">
        <f t="shared" si="87"/>
        <v>5.5555555555555556E-4</v>
      </c>
      <c r="J936">
        <f t="shared" si="88"/>
        <v>3.4107981944444817E-2</v>
      </c>
      <c r="K936">
        <f t="shared" si="89"/>
        <v>1.3268496308292748</v>
      </c>
    </row>
    <row r="937" spans="1:11" x14ac:dyDescent="0.35">
      <c r="A937" s="3" t="s">
        <v>7</v>
      </c>
      <c r="B937" s="3">
        <v>934</v>
      </c>
      <c r="C937" s="3">
        <v>345</v>
      </c>
      <c r="D937" s="15">
        <v>58.6</v>
      </c>
      <c r="E937" s="1">
        <f t="shared" si="84"/>
        <v>-0.26388888888888867</v>
      </c>
      <c r="F937">
        <f t="shared" si="85"/>
        <v>0</v>
      </c>
      <c r="G937">
        <f t="shared" si="86"/>
        <v>545.40816755468234</v>
      </c>
      <c r="I937">
        <f t="shared" si="87"/>
        <v>5.5555555555555556E-4</v>
      </c>
      <c r="J937">
        <f t="shared" si="88"/>
        <v>0</v>
      </c>
      <c r="K937">
        <f t="shared" si="89"/>
        <v>1.3089796021312377</v>
      </c>
    </row>
    <row r="938" spans="1:11" x14ac:dyDescent="0.35">
      <c r="A938" s="3" t="s">
        <v>7</v>
      </c>
      <c r="B938" s="3">
        <v>935</v>
      </c>
      <c r="C938" s="3">
        <v>346</v>
      </c>
      <c r="D938" s="15">
        <v>57.5</v>
      </c>
      <c r="E938" s="1">
        <f t="shared" si="84"/>
        <v>-0.27777777777777779</v>
      </c>
      <c r="F938">
        <f t="shared" si="85"/>
        <v>0</v>
      </c>
      <c r="G938">
        <f t="shared" si="86"/>
        <v>535.17013027976509</v>
      </c>
      <c r="I938">
        <f t="shared" si="87"/>
        <v>5.5555555555555556E-4</v>
      </c>
      <c r="J938">
        <f t="shared" si="88"/>
        <v>0</v>
      </c>
      <c r="K938">
        <f t="shared" si="89"/>
        <v>1.2844083126714363</v>
      </c>
    </row>
    <row r="939" spans="1:11" x14ac:dyDescent="0.35">
      <c r="A939" s="3" t="s">
        <v>7</v>
      </c>
      <c r="B939" s="3">
        <v>936</v>
      </c>
      <c r="C939" s="3">
        <v>347</v>
      </c>
      <c r="D939" s="15">
        <v>56.6</v>
      </c>
      <c r="E939" s="1">
        <f t="shared" si="84"/>
        <v>-0.20833333333333331</v>
      </c>
      <c r="F939">
        <f t="shared" si="85"/>
        <v>2.4778610740740787</v>
      </c>
      <c r="G939">
        <f t="shared" si="86"/>
        <v>526.79355432756006</v>
      </c>
      <c r="I939">
        <f t="shared" si="87"/>
        <v>5.5555555555555556E-4</v>
      </c>
      <c r="J939">
        <f t="shared" si="88"/>
        <v>3.4414737139917759E-3</v>
      </c>
      <c r="K939">
        <f t="shared" si="89"/>
        <v>1.2643045303861442</v>
      </c>
    </row>
    <row r="940" spans="1:11" x14ac:dyDescent="0.35">
      <c r="A940" s="3" t="s">
        <v>7</v>
      </c>
      <c r="B940" s="3">
        <v>937</v>
      </c>
      <c r="C940" s="3">
        <v>348</v>
      </c>
      <c r="D940" s="15">
        <v>56</v>
      </c>
      <c r="E940" s="1">
        <f t="shared" si="84"/>
        <v>-0.15277777777777798</v>
      </c>
      <c r="F940">
        <f t="shared" si="85"/>
        <v>27.170562962962865</v>
      </c>
      <c r="G940">
        <f t="shared" si="86"/>
        <v>521.20917035942341</v>
      </c>
      <c r="I940">
        <f t="shared" si="87"/>
        <v>5.5555555555555556E-4</v>
      </c>
      <c r="J940">
        <f t="shared" si="88"/>
        <v>3.7736893004115091E-2</v>
      </c>
      <c r="K940">
        <f t="shared" si="89"/>
        <v>1.2509020088626162</v>
      </c>
    </row>
    <row r="941" spans="1:11" x14ac:dyDescent="0.35">
      <c r="A941" s="3" t="s">
        <v>7</v>
      </c>
      <c r="B941" s="3">
        <v>938</v>
      </c>
      <c r="C941" s="3">
        <v>349</v>
      </c>
      <c r="D941" s="15">
        <v>55.5</v>
      </c>
      <c r="E941" s="1">
        <f t="shared" si="84"/>
        <v>-0.1388888888888889</v>
      </c>
      <c r="F941">
        <f t="shared" si="85"/>
        <v>32.975252083333324</v>
      </c>
      <c r="G941">
        <f t="shared" si="86"/>
        <v>516.55551705264281</v>
      </c>
      <c r="I941">
        <f t="shared" si="87"/>
        <v>5.5555555555555556E-4</v>
      </c>
      <c r="J941">
        <f t="shared" si="88"/>
        <v>4.5798961226851835E-2</v>
      </c>
      <c r="K941">
        <f t="shared" si="89"/>
        <v>1.2397332409263428</v>
      </c>
    </row>
    <row r="942" spans="1:11" x14ac:dyDescent="0.35">
      <c r="A942" s="3" t="s">
        <v>7</v>
      </c>
      <c r="B942" s="3">
        <v>939</v>
      </c>
      <c r="C942" s="3">
        <v>350</v>
      </c>
      <c r="D942" s="15">
        <v>55</v>
      </c>
      <c r="E942" s="1">
        <f t="shared" si="84"/>
        <v>-0.15277777777777798</v>
      </c>
      <c r="F942">
        <f t="shared" si="85"/>
        <v>26.118015740740642</v>
      </c>
      <c r="G942">
        <f t="shared" si="86"/>
        <v>511.90186374586222</v>
      </c>
      <c r="I942">
        <f t="shared" si="87"/>
        <v>5.5555555555555556E-4</v>
      </c>
      <c r="J942">
        <f t="shared" si="88"/>
        <v>3.6275021862139781E-2</v>
      </c>
      <c r="K942">
        <f t="shared" si="89"/>
        <v>1.2285644729900693</v>
      </c>
    </row>
    <row r="943" spans="1:11" x14ac:dyDescent="0.35">
      <c r="A943" s="3" t="s">
        <v>7</v>
      </c>
      <c r="B943" s="3">
        <v>940</v>
      </c>
      <c r="C943" s="3">
        <v>351</v>
      </c>
      <c r="D943" s="15">
        <v>54.4</v>
      </c>
      <c r="E943" s="1">
        <f t="shared" si="84"/>
        <v>-0.12499999999999981</v>
      </c>
      <c r="F943">
        <f t="shared" si="85"/>
        <v>38.162257185185275</v>
      </c>
      <c r="G943">
        <f t="shared" si="86"/>
        <v>506.31747977772557</v>
      </c>
      <c r="I943">
        <f t="shared" si="87"/>
        <v>5.5555555555555556E-4</v>
      </c>
      <c r="J943">
        <f t="shared" si="88"/>
        <v>5.3003134979423994E-2</v>
      </c>
      <c r="K943">
        <f t="shared" si="89"/>
        <v>1.2151619514665415</v>
      </c>
    </row>
    <row r="944" spans="1:11" x14ac:dyDescent="0.35">
      <c r="A944" s="3" t="s">
        <v>7</v>
      </c>
      <c r="B944" s="3">
        <v>941</v>
      </c>
      <c r="C944" s="3">
        <v>352</v>
      </c>
      <c r="D944" s="15">
        <v>54.1</v>
      </c>
      <c r="E944" s="1">
        <f t="shared" si="84"/>
        <v>-5.5555555555555358E-2</v>
      </c>
      <c r="F944">
        <f t="shared" si="85"/>
        <v>69.520271490740825</v>
      </c>
      <c r="G944">
        <f t="shared" si="86"/>
        <v>503.52528779365724</v>
      </c>
      <c r="I944">
        <f t="shared" si="87"/>
        <v>5.5555555555555556E-4</v>
      </c>
      <c r="J944">
        <f t="shared" si="88"/>
        <v>9.655593262602892E-2</v>
      </c>
      <c r="K944">
        <f t="shared" si="89"/>
        <v>1.2084606907047772</v>
      </c>
    </row>
    <row r="945" spans="1:11" x14ac:dyDescent="0.35">
      <c r="A945" s="3" t="s">
        <v>7</v>
      </c>
      <c r="B945" s="3">
        <v>942</v>
      </c>
      <c r="C945" s="3">
        <v>353</v>
      </c>
      <c r="D945" s="15">
        <v>54</v>
      </c>
      <c r="E945" s="1">
        <f t="shared" si="84"/>
        <v>-2.7777777777778172E-2</v>
      </c>
      <c r="F945">
        <f t="shared" si="85"/>
        <v>82.084433333333138</v>
      </c>
      <c r="G945">
        <f t="shared" si="86"/>
        <v>502.59455713230113</v>
      </c>
      <c r="I945">
        <f t="shared" si="87"/>
        <v>5.5555555555555556E-4</v>
      </c>
      <c r="J945">
        <f t="shared" si="88"/>
        <v>0.11400615740740713</v>
      </c>
      <c r="K945">
        <f t="shared" si="89"/>
        <v>1.2062269371175227</v>
      </c>
    </row>
    <row r="946" spans="1:11" x14ac:dyDescent="0.35">
      <c r="A946" s="3" t="s">
        <v>7</v>
      </c>
      <c r="B946" s="3">
        <v>943</v>
      </c>
      <c r="C946" s="3">
        <v>354</v>
      </c>
      <c r="D946" s="15">
        <v>53.9</v>
      </c>
      <c r="E946" s="1">
        <f t="shared" si="84"/>
        <v>-1.3888888888889086E-2</v>
      </c>
      <c r="F946">
        <f t="shared" si="85"/>
        <v>88.315451490740642</v>
      </c>
      <c r="G946">
        <f t="shared" si="86"/>
        <v>501.66382647094503</v>
      </c>
      <c r="I946">
        <f t="shared" si="87"/>
        <v>5.5555555555555556E-4</v>
      </c>
      <c r="J946">
        <f t="shared" si="88"/>
        <v>0.12266034929269534</v>
      </c>
      <c r="K946">
        <f t="shared" si="89"/>
        <v>1.203993183530268</v>
      </c>
    </row>
    <row r="947" spans="1:11" x14ac:dyDescent="0.35">
      <c r="A947" s="3" t="s">
        <v>7</v>
      </c>
      <c r="B947" s="3">
        <v>944</v>
      </c>
      <c r="C947" s="3">
        <v>355</v>
      </c>
      <c r="D947" s="15">
        <v>53.9</v>
      </c>
      <c r="E947" s="1">
        <f t="shared" si="84"/>
        <v>1.3888888888889086E-2</v>
      </c>
      <c r="F947">
        <f t="shared" si="85"/>
        <v>100.98211815740748</v>
      </c>
      <c r="G947">
        <f t="shared" si="86"/>
        <v>501.66382647094503</v>
      </c>
      <c r="I947">
        <f t="shared" si="87"/>
        <v>5.5555555555555556E-4</v>
      </c>
      <c r="J947">
        <f t="shared" si="88"/>
        <v>0.14025294188528817</v>
      </c>
      <c r="K947">
        <f t="shared" si="89"/>
        <v>1.203993183530268</v>
      </c>
    </row>
    <row r="948" spans="1:11" x14ac:dyDescent="0.35">
      <c r="A948" s="3" t="s">
        <v>7</v>
      </c>
      <c r="B948" s="3">
        <v>945</v>
      </c>
      <c r="C948" s="3">
        <v>356</v>
      </c>
      <c r="D948" s="15">
        <v>54</v>
      </c>
      <c r="E948" s="1">
        <f t="shared" si="84"/>
        <v>4.1666666666667261E-2</v>
      </c>
      <c r="F948">
        <f t="shared" si="85"/>
        <v>113.75110000000025</v>
      </c>
      <c r="G948">
        <f t="shared" si="86"/>
        <v>502.59455713230113</v>
      </c>
      <c r="I948">
        <f t="shared" si="87"/>
        <v>5.5555555555555556E-4</v>
      </c>
      <c r="J948">
        <f t="shared" si="88"/>
        <v>0.15798763888888923</v>
      </c>
      <c r="K948">
        <f t="shared" si="89"/>
        <v>1.2062269371175227</v>
      </c>
    </row>
    <row r="949" spans="1:11" x14ac:dyDescent="0.35">
      <c r="A949" s="3" t="s">
        <v>7</v>
      </c>
      <c r="B949" s="3">
        <v>946</v>
      </c>
      <c r="C949" s="3">
        <v>357</v>
      </c>
      <c r="D949" s="15">
        <v>54.2</v>
      </c>
      <c r="E949" s="1">
        <f t="shared" si="84"/>
        <v>0.1388888888888889</v>
      </c>
      <c r="F949">
        <f t="shared" si="85"/>
        <v>158.28963262962964</v>
      </c>
      <c r="G949">
        <f t="shared" si="86"/>
        <v>504.45601845501335</v>
      </c>
      <c r="I949">
        <f t="shared" si="87"/>
        <v>5.5555555555555556E-4</v>
      </c>
      <c r="J949">
        <f t="shared" si="88"/>
        <v>0.21984671198559672</v>
      </c>
      <c r="K949">
        <f t="shared" si="89"/>
        <v>1.2106944442920322</v>
      </c>
    </row>
    <row r="950" spans="1:11" x14ac:dyDescent="0.35">
      <c r="A950" s="3" t="s">
        <v>7</v>
      </c>
      <c r="B950" s="3">
        <v>947</v>
      </c>
      <c r="C950" s="3">
        <v>358</v>
      </c>
      <c r="D950" s="15">
        <v>55</v>
      </c>
      <c r="E950" s="1">
        <f t="shared" si="84"/>
        <v>0.22222222222222143</v>
      </c>
      <c r="F950">
        <f t="shared" si="85"/>
        <v>197.11801574074039</v>
      </c>
      <c r="G950">
        <f t="shared" si="86"/>
        <v>511.90186374586222</v>
      </c>
      <c r="I950">
        <f t="shared" si="87"/>
        <v>5.5555555555555556E-4</v>
      </c>
      <c r="J950">
        <f t="shared" si="88"/>
        <v>0.27377502186213942</v>
      </c>
      <c r="K950">
        <f t="shared" si="89"/>
        <v>1.2285644729900693</v>
      </c>
    </row>
    <row r="951" spans="1:11" x14ac:dyDescent="0.35">
      <c r="A951" s="3" t="s">
        <v>7</v>
      </c>
      <c r="B951" s="3">
        <v>948</v>
      </c>
      <c r="C951" s="3">
        <v>359</v>
      </c>
      <c r="D951" s="15">
        <v>55.8</v>
      </c>
      <c r="E951" s="1">
        <f t="shared" si="84"/>
        <v>0.16666666666666705</v>
      </c>
      <c r="F951">
        <f t="shared" si="85"/>
        <v>172.62520300000014</v>
      </c>
      <c r="G951">
        <f t="shared" si="86"/>
        <v>519.34770903671119</v>
      </c>
      <c r="I951">
        <f t="shared" si="87"/>
        <v>5.5555555555555556E-4</v>
      </c>
      <c r="J951">
        <f t="shared" si="88"/>
        <v>0.23975722638888908</v>
      </c>
      <c r="K951">
        <f t="shared" si="89"/>
        <v>1.2464345016881069</v>
      </c>
    </row>
    <row r="952" spans="1:11" x14ac:dyDescent="0.35">
      <c r="A952" s="3" t="s">
        <v>7</v>
      </c>
      <c r="B952" s="3">
        <v>949</v>
      </c>
      <c r="C952" s="3">
        <v>360</v>
      </c>
      <c r="D952" s="15">
        <v>56.2</v>
      </c>
      <c r="E952" s="1">
        <f t="shared" si="84"/>
        <v>4.1666666666667261E-2</v>
      </c>
      <c r="F952">
        <f t="shared" si="85"/>
        <v>116.0500148518521</v>
      </c>
      <c r="G952">
        <f t="shared" si="86"/>
        <v>523.07063168213563</v>
      </c>
      <c r="I952">
        <f t="shared" si="87"/>
        <v>5.5555555555555556E-4</v>
      </c>
      <c r="J952">
        <f t="shared" si="88"/>
        <v>0.16118057618312792</v>
      </c>
      <c r="K952">
        <f t="shared" si="89"/>
        <v>1.2553695160371254</v>
      </c>
    </row>
    <row r="953" spans="1:11" x14ac:dyDescent="0.35">
      <c r="A953" s="3" t="s">
        <v>7</v>
      </c>
      <c r="B953" s="3">
        <v>950</v>
      </c>
      <c r="C953" s="3">
        <v>361</v>
      </c>
      <c r="D953" s="15">
        <v>56.1</v>
      </c>
      <c r="E953" s="1">
        <f t="shared" si="84"/>
        <v>-0.15277777777777798</v>
      </c>
      <c r="F953">
        <f t="shared" si="85"/>
        <v>27.276860749999912</v>
      </c>
      <c r="G953">
        <f t="shared" si="86"/>
        <v>522.13990102077946</v>
      </c>
      <c r="I953">
        <f t="shared" si="87"/>
        <v>5.5555555555555556E-4</v>
      </c>
      <c r="J953">
        <f t="shared" si="88"/>
        <v>3.7884528819444326E-2</v>
      </c>
      <c r="K953">
        <f t="shared" si="89"/>
        <v>1.2531357624498707</v>
      </c>
    </row>
    <row r="954" spans="1:11" x14ac:dyDescent="0.35">
      <c r="A954" s="3" t="s">
        <v>7</v>
      </c>
      <c r="B954" s="3">
        <v>951</v>
      </c>
      <c r="C954" s="3">
        <v>362</v>
      </c>
      <c r="D954" s="15">
        <v>55.1</v>
      </c>
      <c r="E954" s="1">
        <f t="shared" si="84"/>
        <v>-0.47222222222222199</v>
      </c>
      <c r="F954">
        <f t="shared" si="85"/>
        <v>0</v>
      </c>
      <c r="G954">
        <f t="shared" si="86"/>
        <v>512.83259440721838</v>
      </c>
      <c r="I954">
        <f t="shared" si="87"/>
        <v>5.5555555555555556E-4</v>
      </c>
      <c r="J954">
        <f t="shared" si="88"/>
        <v>0</v>
      </c>
      <c r="K954">
        <f t="shared" si="89"/>
        <v>1.2307982265773241</v>
      </c>
    </row>
    <row r="955" spans="1:11" x14ac:dyDescent="0.35">
      <c r="A955" s="3" t="s">
        <v>7</v>
      </c>
      <c r="B955" s="3">
        <v>952</v>
      </c>
      <c r="C955" s="3">
        <v>363</v>
      </c>
      <c r="D955" s="15">
        <v>52.7</v>
      </c>
      <c r="E955" s="1">
        <f t="shared" si="84"/>
        <v>-0.93055555555555591</v>
      </c>
      <c r="F955">
        <f t="shared" si="85"/>
        <v>0</v>
      </c>
      <c r="G955">
        <f t="shared" si="86"/>
        <v>490.49505853467161</v>
      </c>
      <c r="I955">
        <f t="shared" si="87"/>
        <v>5.5555555555555556E-4</v>
      </c>
      <c r="J955">
        <f t="shared" si="88"/>
        <v>0</v>
      </c>
      <c r="K955">
        <f t="shared" si="89"/>
        <v>1.1771881404832119</v>
      </c>
    </row>
    <row r="956" spans="1:11" x14ac:dyDescent="0.35">
      <c r="A956" s="3" t="s">
        <v>7</v>
      </c>
      <c r="B956" s="3">
        <v>953</v>
      </c>
      <c r="C956" s="3">
        <v>364</v>
      </c>
      <c r="D956" s="15">
        <v>48.4</v>
      </c>
      <c r="E956" s="1">
        <f t="shared" si="84"/>
        <v>-1.3333333333333335</v>
      </c>
      <c r="F956">
        <f t="shared" si="85"/>
        <v>0</v>
      </c>
      <c r="G956">
        <f t="shared" si="86"/>
        <v>450.47364009635879</v>
      </c>
      <c r="I956">
        <f t="shared" si="87"/>
        <v>5.5555555555555556E-4</v>
      </c>
      <c r="J956">
        <f t="shared" si="88"/>
        <v>0</v>
      </c>
      <c r="K956">
        <f t="shared" si="89"/>
        <v>1.0811367362312612</v>
      </c>
    </row>
    <row r="957" spans="1:11" x14ac:dyDescent="0.35">
      <c r="A957" s="3" t="s">
        <v>7</v>
      </c>
      <c r="B957" s="3">
        <v>954</v>
      </c>
      <c r="C957" s="3">
        <v>365</v>
      </c>
      <c r="D957" s="15">
        <v>43.1</v>
      </c>
      <c r="E957" s="1">
        <f t="shared" si="84"/>
        <v>-1.4722222222222223</v>
      </c>
      <c r="F957">
        <f t="shared" si="85"/>
        <v>0</v>
      </c>
      <c r="G957">
        <f t="shared" si="86"/>
        <v>401.14491504448478</v>
      </c>
      <c r="I957">
        <f t="shared" si="87"/>
        <v>5.5555555555555556E-4</v>
      </c>
      <c r="J957">
        <f t="shared" si="88"/>
        <v>0</v>
      </c>
      <c r="K957">
        <f t="shared" si="89"/>
        <v>0.96274779610676342</v>
      </c>
    </row>
    <row r="958" spans="1:11" x14ac:dyDescent="0.35">
      <c r="A958" s="3" t="s">
        <v>7</v>
      </c>
      <c r="B958" s="3">
        <v>955</v>
      </c>
      <c r="C958" s="3">
        <v>366</v>
      </c>
      <c r="D958" s="15">
        <v>37.799999999999997</v>
      </c>
      <c r="E958" s="1">
        <f t="shared" si="84"/>
        <v>-1.4722222222222223</v>
      </c>
      <c r="F958">
        <f t="shared" si="85"/>
        <v>0</v>
      </c>
      <c r="G958">
        <f t="shared" si="86"/>
        <v>351.81618999261076</v>
      </c>
      <c r="I958">
        <f t="shared" si="87"/>
        <v>5.5555555555555556E-4</v>
      </c>
      <c r="J958">
        <f t="shared" si="88"/>
        <v>0</v>
      </c>
      <c r="K958">
        <f t="shared" si="89"/>
        <v>0.8443588559822659</v>
      </c>
    </row>
    <row r="959" spans="1:11" x14ac:dyDescent="0.35">
      <c r="A959" s="3" t="s">
        <v>7</v>
      </c>
      <c r="B959" s="3">
        <v>956</v>
      </c>
      <c r="C959" s="3">
        <v>367</v>
      </c>
      <c r="D959" s="15">
        <v>32.5</v>
      </c>
      <c r="E959" s="1">
        <f t="shared" si="84"/>
        <v>-1.4722222222222219</v>
      </c>
      <c r="F959">
        <f t="shared" si="85"/>
        <v>0</v>
      </c>
      <c r="G959">
        <f t="shared" si="86"/>
        <v>302.4874649407368</v>
      </c>
      <c r="I959">
        <f t="shared" si="87"/>
        <v>5.5555555555555556E-4</v>
      </c>
      <c r="J959">
        <f t="shared" si="88"/>
        <v>0</v>
      </c>
      <c r="K959">
        <f t="shared" si="89"/>
        <v>0.72596991585776838</v>
      </c>
    </row>
    <row r="960" spans="1:11" x14ac:dyDescent="0.35">
      <c r="A960" s="3" t="s">
        <v>7</v>
      </c>
      <c r="B960" s="3">
        <v>957</v>
      </c>
      <c r="C960" s="3">
        <v>368</v>
      </c>
      <c r="D960" s="15">
        <v>27.2</v>
      </c>
      <c r="E960" s="1">
        <f t="shared" si="84"/>
        <v>-1.0277777777777775</v>
      </c>
      <c r="F960">
        <f t="shared" si="85"/>
        <v>0</v>
      </c>
      <c r="G960">
        <f t="shared" si="86"/>
        <v>253.15873988886278</v>
      </c>
      <c r="I960">
        <f t="shared" si="87"/>
        <v>5.5555555555555556E-4</v>
      </c>
      <c r="J960">
        <f t="shared" si="88"/>
        <v>0</v>
      </c>
      <c r="K960">
        <f t="shared" si="89"/>
        <v>0.60758097573327075</v>
      </c>
    </row>
    <row r="961" spans="1:11" x14ac:dyDescent="0.35">
      <c r="A961" s="3" t="s">
        <v>7</v>
      </c>
      <c r="B961" s="3">
        <v>958</v>
      </c>
      <c r="C961" s="3">
        <v>369</v>
      </c>
      <c r="D961" s="15">
        <v>25.1</v>
      </c>
      <c r="E961" s="1">
        <f t="shared" si="84"/>
        <v>-0.16666666666666657</v>
      </c>
      <c r="F961">
        <f t="shared" si="85"/>
        <v>0</v>
      </c>
      <c r="G961">
        <f t="shared" si="86"/>
        <v>233.6133960003844</v>
      </c>
      <c r="I961">
        <f t="shared" si="87"/>
        <v>5.5555555555555556E-4</v>
      </c>
      <c r="J961">
        <f t="shared" si="88"/>
        <v>0</v>
      </c>
      <c r="K961">
        <f t="shared" si="89"/>
        <v>0.56067215040092255</v>
      </c>
    </row>
    <row r="962" spans="1:11" x14ac:dyDescent="0.35">
      <c r="A962" s="3" t="s">
        <v>7</v>
      </c>
      <c r="B962" s="3">
        <v>959</v>
      </c>
      <c r="C962" s="3">
        <v>370</v>
      </c>
      <c r="D962" s="15">
        <v>26</v>
      </c>
      <c r="E962" s="1">
        <f t="shared" si="84"/>
        <v>0.58333333333333326</v>
      </c>
      <c r="F962">
        <f t="shared" si="85"/>
        <v>339.51050740740737</v>
      </c>
      <c r="G962">
        <f t="shared" si="86"/>
        <v>241.98997195258943</v>
      </c>
      <c r="I962">
        <f t="shared" si="87"/>
        <v>5.5555555555555556E-4</v>
      </c>
      <c r="J962">
        <f t="shared" si="88"/>
        <v>0.47154237139917693</v>
      </c>
      <c r="K962">
        <f t="shared" si="89"/>
        <v>0.58077593268621464</v>
      </c>
    </row>
    <row r="963" spans="1:11" x14ac:dyDescent="0.35">
      <c r="A963" s="3" t="s">
        <v>7</v>
      </c>
      <c r="B963" s="3">
        <v>960</v>
      </c>
      <c r="C963" s="3">
        <v>371</v>
      </c>
      <c r="D963" s="15">
        <v>29.3</v>
      </c>
      <c r="E963" s="1">
        <f t="shared" si="84"/>
        <v>1.1944444444444446</v>
      </c>
      <c r="F963">
        <f t="shared" si="85"/>
        <v>619.90761860185182</v>
      </c>
      <c r="G963">
        <f t="shared" si="86"/>
        <v>272.70408377734117</v>
      </c>
      <c r="I963">
        <f t="shared" si="87"/>
        <v>5.5555555555555556E-4</v>
      </c>
      <c r="J963">
        <f t="shared" si="88"/>
        <v>0.86098280361368307</v>
      </c>
      <c r="K963">
        <f t="shared" si="89"/>
        <v>0.65448980106561883</v>
      </c>
    </row>
    <row r="964" spans="1:11" x14ac:dyDescent="0.35">
      <c r="A964" s="3" t="s">
        <v>7</v>
      </c>
      <c r="B964" s="3">
        <v>961</v>
      </c>
      <c r="C964" s="3">
        <v>372</v>
      </c>
      <c r="D964" s="15">
        <v>34.6</v>
      </c>
      <c r="E964" s="1">
        <f t="shared" si="84"/>
        <v>1.5416666666666663</v>
      </c>
      <c r="F964">
        <f t="shared" si="85"/>
        <v>781.45235885185173</v>
      </c>
      <c r="G964">
        <f t="shared" si="86"/>
        <v>322.03280882921513</v>
      </c>
      <c r="I964">
        <f t="shared" si="87"/>
        <v>5.5555555555555556E-4</v>
      </c>
      <c r="J964">
        <f t="shared" si="88"/>
        <v>1.0853504984053497</v>
      </c>
      <c r="K964">
        <f t="shared" si="89"/>
        <v>0.77287874119011635</v>
      </c>
    </row>
    <row r="965" spans="1:11" x14ac:dyDescent="0.35">
      <c r="A965" s="3" t="s">
        <v>7</v>
      </c>
      <c r="B965" s="3">
        <v>962</v>
      </c>
      <c r="C965" s="3">
        <v>373</v>
      </c>
      <c r="D965" s="15">
        <v>40.4</v>
      </c>
      <c r="E965" s="1">
        <f t="shared" ref="E965:E1028" si="90">($D966-$D964)/2/3.6</f>
        <v>1.4861111111111105</v>
      </c>
      <c r="F965">
        <f t="shared" ref="F965:F1028" si="91">IF(D965=0,0,MAX(0,0.285*(1600*E965 + 1600*9.81*0.015 + 0.5*1.225*0.32*2.2*(D965/3.6)^2)))</f>
        <v>760.24387274074047</v>
      </c>
      <c r="G965">
        <f t="shared" ref="G965:G1028" si="92">60*D965/(2*PI()*3.6*0.285)</f>
        <v>376.01518718786974</v>
      </c>
      <c r="I965">
        <f t="shared" ref="I965:I1028" si="93">1/1800</f>
        <v>5.5555555555555556E-4</v>
      </c>
      <c r="J965">
        <f t="shared" ref="J965:J1028" si="94">F965/(M$3*3.6)</f>
        <v>1.0558942676954728</v>
      </c>
      <c r="K965">
        <f t="shared" ref="K965:K1028" si="95">G965*3.6/N$3</f>
        <v>0.9024364492508874</v>
      </c>
    </row>
    <row r="966" spans="1:11" x14ac:dyDescent="0.35">
      <c r="A966" s="3" t="s">
        <v>7</v>
      </c>
      <c r="B966" s="3">
        <v>963</v>
      </c>
      <c r="C966" s="3">
        <v>374</v>
      </c>
      <c r="D966" s="15">
        <v>45.3</v>
      </c>
      <c r="E966" s="1">
        <f t="shared" si="90"/>
        <v>1.1944444444444446</v>
      </c>
      <c r="F966">
        <f t="shared" si="91"/>
        <v>631.22582008333336</v>
      </c>
      <c r="G966">
        <f t="shared" si="92"/>
        <v>421.62098959431927</v>
      </c>
      <c r="I966">
        <f t="shared" si="93"/>
        <v>5.5555555555555556E-4</v>
      </c>
      <c r="J966">
        <f t="shared" si="94"/>
        <v>0.87670252789351855</v>
      </c>
      <c r="K966">
        <f t="shared" si="95"/>
        <v>1.0118903750263661</v>
      </c>
    </row>
    <row r="967" spans="1:11" x14ac:dyDescent="0.35">
      <c r="A967" s="3" t="s">
        <v>7</v>
      </c>
      <c r="B967" s="3">
        <v>964</v>
      </c>
      <c r="C967" s="3">
        <v>375</v>
      </c>
      <c r="D967" s="15">
        <v>49</v>
      </c>
      <c r="E967" s="1">
        <f t="shared" si="90"/>
        <v>0.80555555555555614</v>
      </c>
      <c r="F967">
        <f t="shared" si="91"/>
        <v>457.20099351851877</v>
      </c>
      <c r="G967">
        <f t="shared" si="92"/>
        <v>456.05802406449544</v>
      </c>
      <c r="I967">
        <f t="shared" si="93"/>
        <v>5.5555555555555556E-4</v>
      </c>
      <c r="J967">
        <f t="shared" si="94"/>
        <v>0.63500137988683159</v>
      </c>
      <c r="K967">
        <f t="shared" si="95"/>
        <v>1.094539257754789</v>
      </c>
    </row>
    <row r="968" spans="1:11" x14ac:dyDescent="0.35">
      <c r="A968" s="3" t="s">
        <v>7</v>
      </c>
      <c r="B968" s="3">
        <v>965</v>
      </c>
      <c r="C968" s="3">
        <v>376</v>
      </c>
      <c r="D968" s="15">
        <v>51.1</v>
      </c>
      <c r="E968" s="1">
        <f t="shared" si="90"/>
        <v>0.43055555555555575</v>
      </c>
      <c r="F968">
        <f t="shared" si="91"/>
        <v>288.19429037962971</v>
      </c>
      <c r="G968">
        <f t="shared" si="92"/>
        <v>475.60336795297383</v>
      </c>
      <c r="I968">
        <f t="shared" si="93"/>
        <v>5.5555555555555556E-4</v>
      </c>
      <c r="J968">
        <f t="shared" si="94"/>
        <v>0.40026984774948571</v>
      </c>
      <c r="K968">
        <f t="shared" si="95"/>
        <v>1.1414480830871372</v>
      </c>
    </row>
    <row r="969" spans="1:11" x14ac:dyDescent="0.35">
      <c r="A969" s="3" t="s">
        <v>7</v>
      </c>
      <c r="B969" s="3">
        <v>966</v>
      </c>
      <c r="C969" s="3">
        <v>377</v>
      </c>
      <c r="D969" s="15">
        <v>52.1</v>
      </c>
      <c r="E969" s="1">
        <f t="shared" si="90"/>
        <v>0.15277777777777798</v>
      </c>
      <c r="F969">
        <f t="shared" si="91"/>
        <v>162.50620815740749</v>
      </c>
      <c r="G969">
        <f t="shared" si="92"/>
        <v>484.91067456653496</v>
      </c>
      <c r="I969">
        <f t="shared" si="93"/>
        <v>5.5555555555555556E-4</v>
      </c>
      <c r="J969">
        <f t="shared" si="94"/>
        <v>0.22570306688528818</v>
      </c>
      <c r="K969">
        <f t="shared" si="95"/>
        <v>1.163785618959684</v>
      </c>
    </row>
    <row r="970" spans="1:11" x14ac:dyDescent="0.35">
      <c r="A970" s="3" t="s">
        <v>7</v>
      </c>
      <c r="B970" s="3">
        <v>967</v>
      </c>
      <c r="C970" s="3">
        <v>378</v>
      </c>
      <c r="D970" s="15">
        <v>52.2</v>
      </c>
      <c r="E970" s="1">
        <f t="shared" si="90"/>
        <v>0</v>
      </c>
      <c r="F970">
        <f t="shared" si="91"/>
        <v>92.938442999999992</v>
      </c>
      <c r="G970">
        <f t="shared" si="92"/>
        <v>485.84140522789107</v>
      </c>
      <c r="I970">
        <f t="shared" si="93"/>
        <v>5.5555555555555556E-4</v>
      </c>
      <c r="J970">
        <f t="shared" si="94"/>
        <v>0.12908117083333331</v>
      </c>
      <c r="K970">
        <f t="shared" si="95"/>
        <v>1.1660193725469385</v>
      </c>
    </row>
    <row r="971" spans="1:11" x14ac:dyDescent="0.35">
      <c r="A971" s="3" t="s">
        <v>7</v>
      </c>
      <c r="B971" s="3">
        <v>968</v>
      </c>
      <c r="C971" s="3">
        <v>379</v>
      </c>
      <c r="D971" s="15">
        <v>52.1</v>
      </c>
      <c r="E971" s="1">
        <f t="shared" si="90"/>
        <v>-6.9444444444444448E-2</v>
      </c>
      <c r="F971">
        <f t="shared" si="91"/>
        <v>61.172874824074064</v>
      </c>
      <c r="G971">
        <f t="shared" si="92"/>
        <v>484.91067456653496</v>
      </c>
      <c r="I971">
        <f t="shared" si="93"/>
        <v>5.5555555555555556E-4</v>
      </c>
      <c r="J971">
        <f t="shared" si="94"/>
        <v>8.4962326144547309E-2</v>
      </c>
      <c r="K971">
        <f t="shared" si="95"/>
        <v>1.163785618959684</v>
      </c>
    </row>
    <row r="972" spans="1:11" x14ac:dyDescent="0.35">
      <c r="A972" s="3" t="s">
        <v>7</v>
      </c>
      <c r="B972" s="3">
        <v>969</v>
      </c>
      <c r="C972" s="3">
        <v>380</v>
      </c>
      <c r="D972" s="15">
        <v>51.7</v>
      </c>
      <c r="E972" s="1">
        <f t="shared" si="90"/>
        <v>-0.16666666666666705</v>
      </c>
      <c r="F972">
        <f t="shared" si="91"/>
        <v>16.445831935185016</v>
      </c>
      <c r="G972">
        <f t="shared" si="92"/>
        <v>481.18775192111053</v>
      </c>
      <c r="I972">
        <f t="shared" si="93"/>
        <v>5.5555555555555556E-4</v>
      </c>
      <c r="J972">
        <f t="shared" si="94"/>
        <v>2.2841433243312521E-2</v>
      </c>
      <c r="K972">
        <f t="shared" si="95"/>
        <v>1.1548506046106652</v>
      </c>
    </row>
    <row r="973" spans="1:11" x14ac:dyDescent="0.35">
      <c r="A973" s="3" t="s">
        <v>7</v>
      </c>
      <c r="B973" s="3">
        <v>970</v>
      </c>
      <c r="C973" s="3">
        <v>381</v>
      </c>
      <c r="D973" s="15">
        <v>50.9</v>
      </c>
      <c r="E973" s="1">
        <f t="shared" si="90"/>
        <v>-0.34722222222222221</v>
      </c>
      <c r="F973">
        <f t="shared" si="91"/>
        <v>0</v>
      </c>
      <c r="G973">
        <f t="shared" si="92"/>
        <v>473.74190663026161</v>
      </c>
      <c r="I973">
        <f t="shared" si="93"/>
        <v>5.5555555555555556E-4</v>
      </c>
      <c r="J973">
        <f t="shared" si="94"/>
        <v>0</v>
      </c>
      <c r="K973">
        <f t="shared" si="95"/>
        <v>1.1369805759126279</v>
      </c>
    </row>
    <row r="974" spans="1:11" x14ac:dyDescent="0.35">
      <c r="A974" s="3" t="s">
        <v>7</v>
      </c>
      <c r="B974" s="3">
        <v>971</v>
      </c>
      <c r="C974" s="3">
        <v>382</v>
      </c>
      <c r="D974" s="15">
        <v>49.2</v>
      </c>
      <c r="E974" s="1">
        <f t="shared" si="90"/>
        <v>-0.69444444444444442</v>
      </c>
      <c r="F974">
        <f t="shared" si="91"/>
        <v>0</v>
      </c>
      <c r="G974">
        <f t="shared" si="92"/>
        <v>457.91948538720766</v>
      </c>
      <c r="I974">
        <f t="shared" si="93"/>
        <v>5.5555555555555556E-4</v>
      </c>
      <c r="J974">
        <f t="shared" si="94"/>
        <v>0</v>
      </c>
      <c r="K974">
        <f t="shared" si="95"/>
        <v>1.0990067649292985</v>
      </c>
    </row>
    <row r="975" spans="1:11" x14ac:dyDescent="0.35">
      <c r="A975" s="3" t="s">
        <v>7</v>
      </c>
      <c r="B975" s="3">
        <v>972</v>
      </c>
      <c r="C975" s="3">
        <v>383</v>
      </c>
      <c r="D975" s="15">
        <v>45.9</v>
      </c>
      <c r="E975" s="1">
        <f t="shared" si="90"/>
        <v>-1.1944444444444446</v>
      </c>
      <c r="F975">
        <f t="shared" si="91"/>
        <v>0</v>
      </c>
      <c r="G975">
        <f t="shared" si="92"/>
        <v>427.20537356245592</v>
      </c>
      <c r="I975">
        <f t="shared" si="93"/>
        <v>5.5555555555555556E-4</v>
      </c>
      <c r="J975">
        <f t="shared" si="94"/>
        <v>0</v>
      </c>
      <c r="K975">
        <f t="shared" si="95"/>
        <v>1.0252928965498942</v>
      </c>
    </row>
    <row r="976" spans="1:11" x14ac:dyDescent="0.35">
      <c r="A976" s="3" t="s">
        <v>7</v>
      </c>
      <c r="B976" s="3">
        <v>973</v>
      </c>
      <c r="C976" s="3">
        <v>384</v>
      </c>
      <c r="D976" s="15">
        <v>40.6</v>
      </c>
      <c r="E976" s="1">
        <f t="shared" si="90"/>
        <v>-1.4722222222222223</v>
      </c>
      <c r="F976">
        <f t="shared" si="91"/>
        <v>0</v>
      </c>
      <c r="G976">
        <f t="shared" si="92"/>
        <v>377.87664851058196</v>
      </c>
      <c r="I976">
        <f t="shared" si="93"/>
        <v>5.5555555555555556E-4</v>
      </c>
      <c r="J976">
        <f t="shared" si="94"/>
        <v>0</v>
      </c>
      <c r="K976">
        <f t="shared" si="95"/>
        <v>0.90690395642539667</v>
      </c>
    </row>
    <row r="977" spans="1:11" x14ac:dyDescent="0.35">
      <c r="A977" s="3" t="s">
        <v>7</v>
      </c>
      <c r="B977" s="3">
        <v>974</v>
      </c>
      <c r="C977" s="3">
        <v>385</v>
      </c>
      <c r="D977" s="15">
        <v>35.299999999999997</v>
      </c>
      <c r="E977" s="1">
        <f t="shared" si="90"/>
        <v>-1.4722222222222223</v>
      </c>
      <c r="F977">
        <f t="shared" si="91"/>
        <v>0</v>
      </c>
      <c r="G977">
        <f t="shared" si="92"/>
        <v>328.54792345870794</v>
      </c>
      <c r="I977">
        <f t="shared" si="93"/>
        <v>5.5555555555555556E-4</v>
      </c>
      <c r="J977">
        <f t="shared" si="94"/>
        <v>0</v>
      </c>
      <c r="K977">
        <f t="shared" si="95"/>
        <v>0.78851501630089904</v>
      </c>
    </row>
    <row r="978" spans="1:11" x14ac:dyDescent="0.35">
      <c r="A978" s="3" t="s">
        <v>7</v>
      </c>
      <c r="B978" s="3">
        <v>975</v>
      </c>
      <c r="C978" s="3">
        <v>386</v>
      </c>
      <c r="D978" s="15">
        <v>30</v>
      </c>
      <c r="E978" s="1">
        <f t="shared" si="90"/>
        <v>-1.4722222222222219</v>
      </c>
      <c r="F978">
        <f t="shared" si="91"/>
        <v>0</v>
      </c>
      <c r="G978">
        <f t="shared" si="92"/>
        <v>279.21919840683393</v>
      </c>
      <c r="I978">
        <f t="shared" si="93"/>
        <v>5.5555555555555556E-4</v>
      </c>
      <c r="J978">
        <f t="shared" si="94"/>
        <v>0</v>
      </c>
      <c r="K978">
        <f t="shared" si="95"/>
        <v>0.67012607617640141</v>
      </c>
    </row>
    <row r="979" spans="1:11" x14ac:dyDescent="0.35">
      <c r="A979" s="3" t="s">
        <v>7</v>
      </c>
      <c r="B979" s="3">
        <v>976</v>
      </c>
      <c r="C979" s="3">
        <v>387</v>
      </c>
      <c r="D979" s="15">
        <v>24.7</v>
      </c>
      <c r="E979" s="1">
        <f t="shared" si="90"/>
        <v>-1.4861111111111109</v>
      </c>
      <c r="F979">
        <f t="shared" si="91"/>
        <v>0</v>
      </c>
      <c r="G979">
        <f t="shared" si="92"/>
        <v>229.89047335495997</v>
      </c>
      <c r="I979">
        <f t="shared" si="93"/>
        <v>5.5555555555555556E-4</v>
      </c>
      <c r="J979">
        <f t="shared" si="94"/>
        <v>0</v>
      </c>
      <c r="K979">
        <f t="shared" si="95"/>
        <v>0.55173713605190389</v>
      </c>
    </row>
    <row r="980" spans="1:11" x14ac:dyDescent="0.35">
      <c r="A980" s="3" t="s">
        <v>7</v>
      </c>
      <c r="B980" s="3">
        <v>977</v>
      </c>
      <c r="C980" s="3">
        <v>388</v>
      </c>
      <c r="D980" s="15">
        <v>19.3</v>
      </c>
      <c r="E980" s="1">
        <f t="shared" si="90"/>
        <v>-1.2083333333333333</v>
      </c>
      <c r="F980">
        <f t="shared" si="91"/>
        <v>0</v>
      </c>
      <c r="G980">
        <f t="shared" si="92"/>
        <v>179.63101764172984</v>
      </c>
      <c r="I980">
        <f t="shared" si="93"/>
        <v>5.5555555555555556E-4</v>
      </c>
      <c r="J980">
        <f t="shared" si="94"/>
        <v>0</v>
      </c>
      <c r="K980">
        <f t="shared" si="95"/>
        <v>0.43111444234015162</v>
      </c>
    </row>
    <row r="981" spans="1:11" x14ac:dyDescent="0.35">
      <c r="A981" s="3" t="s">
        <v>7</v>
      </c>
      <c r="B981" s="3">
        <v>978</v>
      </c>
      <c r="C981" s="3">
        <v>389</v>
      </c>
      <c r="D981" s="15">
        <v>16</v>
      </c>
      <c r="E981" s="1">
        <f t="shared" si="90"/>
        <v>-0.84722222222222243</v>
      </c>
      <c r="F981">
        <f t="shared" si="91"/>
        <v>0</v>
      </c>
      <c r="G981">
        <f t="shared" si="92"/>
        <v>148.9169058169781</v>
      </c>
      <c r="I981">
        <f t="shared" si="93"/>
        <v>5.5555555555555556E-4</v>
      </c>
      <c r="J981">
        <f t="shared" si="94"/>
        <v>0</v>
      </c>
      <c r="K981">
        <f t="shared" si="95"/>
        <v>0.35740057396074743</v>
      </c>
    </row>
    <row r="982" spans="1:11" x14ac:dyDescent="0.35">
      <c r="A982" s="3" t="s">
        <v>7</v>
      </c>
      <c r="B982" s="3">
        <v>979</v>
      </c>
      <c r="C982" s="3">
        <v>390</v>
      </c>
      <c r="D982" s="15">
        <v>13.2</v>
      </c>
      <c r="E982" s="1">
        <f t="shared" si="90"/>
        <v>-0.73611111111111116</v>
      </c>
      <c r="F982">
        <f t="shared" si="91"/>
        <v>0</v>
      </c>
      <c r="G982">
        <f t="shared" si="92"/>
        <v>122.85644729900694</v>
      </c>
      <c r="I982">
        <f t="shared" si="93"/>
        <v>5.5555555555555556E-4</v>
      </c>
      <c r="J982">
        <f t="shared" si="94"/>
        <v>0</v>
      </c>
      <c r="K982">
        <f t="shared" si="95"/>
        <v>0.29485547351761665</v>
      </c>
    </row>
    <row r="983" spans="1:11" x14ac:dyDescent="0.35">
      <c r="A983" s="3" t="s">
        <v>7</v>
      </c>
      <c r="B983" s="3">
        <v>980</v>
      </c>
      <c r="C983" s="3">
        <v>391</v>
      </c>
      <c r="D983" s="15">
        <v>10.7</v>
      </c>
      <c r="E983" s="1">
        <f t="shared" si="90"/>
        <v>-0.61111111111111094</v>
      </c>
      <c r="F983">
        <f t="shared" si="91"/>
        <v>0</v>
      </c>
      <c r="G983">
        <f t="shared" si="92"/>
        <v>99.588180765104113</v>
      </c>
      <c r="I983">
        <f t="shared" si="93"/>
        <v>5.5555555555555556E-4</v>
      </c>
      <c r="J983">
        <f t="shared" si="94"/>
        <v>0</v>
      </c>
      <c r="K983">
        <f t="shared" si="95"/>
        <v>0.23901163383624988</v>
      </c>
    </row>
    <row r="984" spans="1:11" x14ac:dyDescent="0.35">
      <c r="A984" s="3" t="s">
        <v>7</v>
      </c>
      <c r="B984" s="3">
        <v>981</v>
      </c>
      <c r="C984" s="3">
        <v>392</v>
      </c>
      <c r="D984" s="15">
        <v>8.8000000000000007</v>
      </c>
      <c r="E984" s="1">
        <f t="shared" si="90"/>
        <v>-0.48611111111111099</v>
      </c>
      <c r="F984">
        <f t="shared" si="91"/>
        <v>0</v>
      </c>
      <c r="G984">
        <f t="shared" si="92"/>
        <v>81.904298199337958</v>
      </c>
      <c r="I984">
        <f t="shared" si="93"/>
        <v>5.5555555555555556E-4</v>
      </c>
      <c r="J984">
        <f t="shared" si="94"/>
        <v>0</v>
      </c>
      <c r="K984">
        <f t="shared" si="95"/>
        <v>0.1965703156784111</v>
      </c>
    </row>
    <row r="985" spans="1:11" x14ac:dyDescent="0.35">
      <c r="A985" s="3" t="s">
        <v>7</v>
      </c>
      <c r="B985" s="3">
        <v>982</v>
      </c>
      <c r="C985" s="3">
        <v>393</v>
      </c>
      <c r="D985" s="15">
        <v>7.2</v>
      </c>
      <c r="E985" s="1">
        <f t="shared" si="90"/>
        <v>-0.45833333333333343</v>
      </c>
      <c r="F985">
        <f t="shared" si="91"/>
        <v>0</v>
      </c>
      <c r="G985">
        <f t="shared" si="92"/>
        <v>67.012607617640143</v>
      </c>
      <c r="I985">
        <f t="shared" si="93"/>
        <v>5.5555555555555556E-4</v>
      </c>
      <c r="J985">
        <f t="shared" si="94"/>
        <v>0</v>
      </c>
      <c r="K985">
        <f t="shared" si="95"/>
        <v>0.16083025828233635</v>
      </c>
    </row>
    <row r="986" spans="1:11" x14ac:dyDescent="0.35">
      <c r="A986" s="3" t="s">
        <v>7</v>
      </c>
      <c r="B986" s="3">
        <v>983</v>
      </c>
      <c r="C986" s="3">
        <v>394</v>
      </c>
      <c r="D986" s="15">
        <v>5.5</v>
      </c>
      <c r="E986" s="1">
        <f t="shared" si="90"/>
        <v>-0.55555555555555558</v>
      </c>
      <c r="F986">
        <f t="shared" si="91"/>
        <v>0</v>
      </c>
      <c r="G986">
        <f t="shared" si="92"/>
        <v>51.190186374586226</v>
      </c>
      <c r="I986">
        <f t="shared" si="93"/>
        <v>5.5555555555555556E-4</v>
      </c>
      <c r="J986">
        <f t="shared" si="94"/>
        <v>0</v>
      </c>
      <c r="K986">
        <f t="shared" si="95"/>
        <v>0.12285644729900694</v>
      </c>
    </row>
    <row r="987" spans="1:11" x14ac:dyDescent="0.35">
      <c r="A987" s="3" t="s">
        <v>7</v>
      </c>
      <c r="B987" s="3">
        <v>984</v>
      </c>
      <c r="C987" s="3">
        <v>395</v>
      </c>
      <c r="D987" s="15">
        <v>3.2</v>
      </c>
      <c r="E987" s="1">
        <f t="shared" si="90"/>
        <v>-0.61111111111111116</v>
      </c>
      <c r="F987">
        <f t="shared" si="91"/>
        <v>0</v>
      </c>
      <c r="G987">
        <f t="shared" si="92"/>
        <v>29.783381163395621</v>
      </c>
      <c r="I987">
        <f t="shared" si="93"/>
        <v>5.5555555555555556E-4</v>
      </c>
      <c r="J987">
        <f t="shared" si="94"/>
        <v>0</v>
      </c>
      <c r="K987">
        <f t="shared" si="95"/>
        <v>7.1480114792149496E-2</v>
      </c>
    </row>
    <row r="988" spans="1:11" x14ac:dyDescent="0.35">
      <c r="A988" s="3" t="s">
        <v>7</v>
      </c>
      <c r="B988" s="3">
        <v>985</v>
      </c>
      <c r="C988" s="3">
        <v>396</v>
      </c>
      <c r="D988" s="15">
        <v>1.1000000000000001</v>
      </c>
      <c r="E988" s="1">
        <f t="shared" si="90"/>
        <v>-0.44444444444444448</v>
      </c>
      <c r="F988">
        <f t="shared" si="91"/>
        <v>0</v>
      </c>
      <c r="G988">
        <f t="shared" si="92"/>
        <v>10.238037274917245</v>
      </c>
      <c r="I988">
        <f t="shared" si="93"/>
        <v>5.5555555555555556E-4</v>
      </c>
      <c r="J988">
        <f t="shared" si="94"/>
        <v>0</v>
      </c>
      <c r="K988">
        <f t="shared" si="95"/>
        <v>2.4571289459801388E-2</v>
      </c>
    </row>
    <row r="989" spans="1:11" x14ac:dyDescent="0.35">
      <c r="A989" s="3" t="s">
        <v>7</v>
      </c>
      <c r="B989" s="3">
        <v>986</v>
      </c>
      <c r="C989" s="3">
        <v>397</v>
      </c>
      <c r="D989" s="15">
        <v>0</v>
      </c>
      <c r="E989" s="1">
        <f t="shared" si="90"/>
        <v>-0.15277777777777779</v>
      </c>
      <c r="F989">
        <f t="shared" si="91"/>
        <v>0</v>
      </c>
      <c r="G989">
        <f t="shared" si="92"/>
        <v>0</v>
      </c>
      <c r="I989">
        <f t="shared" si="93"/>
        <v>5.5555555555555556E-4</v>
      </c>
      <c r="J989">
        <f t="shared" si="94"/>
        <v>0</v>
      </c>
      <c r="K989">
        <f t="shared" si="95"/>
        <v>0</v>
      </c>
    </row>
    <row r="990" spans="1:11" x14ac:dyDescent="0.35">
      <c r="A990" s="3" t="s">
        <v>7</v>
      </c>
      <c r="B990" s="3">
        <v>987</v>
      </c>
      <c r="C990" s="3">
        <v>398</v>
      </c>
      <c r="D990" s="15">
        <v>0</v>
      </c>
      <c r="E990" s="1">
        <f t="shared" si="90"/>
        <v>0</v>
      </c>
      <c r="F990">
        <f t="shared" si="91"/>
        <v>0</v>
      </c>
      <c r="G990">
        <f t="shared" si="92"/>
        <v>0</v>
      </c>
      <c r="I990">
        <f t="shared" si="93"/>
        <v>5.5555555555555556E-4</v>
      </c>
      <c r="J990">
        <f t="shared" si="94"/>
        <v>0</v>
      </c>
      <c r="K990">
        <f t="shared" si="95"/>
        <v>0</v>
      </c>
    </row>
    <row r="991" spans="1:11" x14ac:dyDescent="0.35">
      <c r="A991" s="3" t="s">
        <v>7</v>
      </c>
      <c r="B991" s="3">
        <v>988</v>
      </c>
      <c r="C991" s="3">
        <v>399</v>
      </c>
      <c r="D991" s="15">
        <v>0</v>
      </c>
      <c r="E991" s="1">
        <f t="shared" si="90"/>
        <v>0</v>
      </c>
      <c r="F991">
        <f t="shared" si="91"/>
        <v>0</v>
      </c>
      <c r="G991">
        <f t="shared" si="92"/>
        <v>0</v>
      </c>
      <c r="I991">
        <f t="shared" si="93"/>
        <v>5.5555555555555556E-4</v>
      </c>
      <c r="J991">
        <f t="shared" si="94"/>
        <v>0</v>
      </c>
      <c r="K991">
        <f t="shared" si="95"/>
        <v>0</v>
      </c>
    </row>
    <row r="992" spans="1:11" x14ac:dyDescent="0.35">
      <c r="A992" s="3" t="s">
        <v>7</v>
      </c>
      <c r="B992" s="3">
        <v>989</v>
      </c>
      <c r="C992" s="3">
        <v>400</v>
      </c>
      <c r="D992" s="15">
        <v>0</v>
      </c>
      <c r="E992" s="1">
        <f t="shared" si="90"/>
        <v>0</v>
      </c>
      <c r="F992">
        <f t="shared" si="91"/>
        <v>0</v>
      </c>
      <c r="G992">
        <f t="shared" si="92"/>
        <v>0</v>
      </c>
      <c r="I992">
        <f t="shared" si="93"/>
        <v>5.5555555555555556E-4</v>
      </c>
      <c r="J992">
        <f t="shared" si="94"/>
        <v>0</v>
      </c>
      <c r="K992">
        <f t="shared" si="95"/>
        <v>0</v>
      </c>
    </row>
    <row r="993" spans="1:11" x14ac:dyDescent="0.35">
      <c r="A993" s="3" t="s">
        <v>7</v>
      </c>
      <c r="B993" s="3">
        <v>990</v>
      </c>
      <c r="C993" s="3">
        <v>401</v>
      </c>
      <c r="D993" s="15">
        <v>0</v>
      </c>
      <c r="E993" s="1">
        <f t="shared" si="90"/>
        <v>0</v>
      </c>
      <c r="F993">
        <f t="shared" si="91"/>
        <v>0</v>
      </c>
      <c r="G993">
        <f t="shared" si="92"/>
        <v>0</v>
      </c>
      <c r="I993">
        <f t="shared" si="93"/>
        <v>5.5555555555555556E-4</v>
      </c>
      <c r="J993">
        <f t="shared" si="94"/>
        <v>0</v>
      </c>
      <c r="K993">
        <f t="shared" si="95"/>
        <v>0</v>
      </c>
    </row>
    <row r="994" spans="1:11" x14ac:dyDescent="0.35">
      <c r="A994" s="3" t="s">
        <v>7</v>
      </c>
      <c r="B994" s="3">
        <v>991</v>
      </c>
      <c r="C994" s="3">
        <v>402</v>
      </c>
      <c r="D994" s="15">
        <v>0</v>
      </c>
      <c r="E994" s="1">
        <f t="shared" si="90"/>
        <v>0</v>
      </c>
      <c r="F994">
        <f t="shared" si="91"/>
        <v>0</v>
      </c>
      <c r="G994">
        <f t="shared" si="92"/>
        <v>0</v>
      </c>
      <c r="I994">
        <f t="shared" si="93"/>
        <v>5.5555555555555556E-4</v>
      </c>
      <c r="J994">
        <f t="shared" si="94"/>
        <v>0</v>
      </c>
      <c r="K994">
        <f t="shared" si="95"/>
        <v>0</v>
      </c>
    </row>
    <row r="995" spans="1:11" x14ac:dyDescent="0.35">
      <c r="A995" s="3" t="s">
        <v>7</v>
      </c>
      <c r="B995" s="3">
        <v>992</v>
      </c>
      <c r="C995" s="3">
        <v>403</v>
      </c>
      <c r="D995" s="15">
        <v>0</v>
      </c>
      <c r="E995" s="1">
        <f t="shared" si="90"/>
        <v>0</v>
      </c>
      <c r="F995">
        <f t="shared" si="91"/>
        <v>0</v>
      </c>
      <c r="G995">
        <f t="shared" si="92"/>
        <v>0</v>
      </c>
      <c r="I995">
        <f t="shared" si="93"/>
        <v>5.5555555555555556E-4</v>
      </c>
      <c r="J995">
        <f t="shared" si="94"/>
        <v>0</v>
      </c>
      <c r="K995">
        <f t="shared" si="95"/>
        <v>0</v>
      </c>
    </row>
    <row r="996" spans="1:11" x14ac:dyDescent="0.35">
      <c r="A996" s="3" t="s">
        <v>7</v>
      </c>
      <c r="B996" s="3">
        <v>993</v>
      </c>
      <c r="C996" s="3">
        <v>404</v>
      </c>
      <c r="D996" s="15">
        <v>0</v>
      </c>
      <c r="E996" s="1">
        <f t="shared" si="90"/>
        <v>0</v>
      </c>
      <c r="F996">
        <f t="shared" si="91"/>
        <v>0</v>
      </c>
      <c r="G996">
        <f t="shared" si="92"/>
        <v>0</v>
      </c>
      <c r="I996">
        <f t="shared" si="93"/>
        <v>5.5555555555555556E-4</v>
      </c>
      <c r="J996">
        <f t="shared" si="94"/>
        <v>0</v>
      </c>
      <c r="K996">
        <f t="shared" si="95"/>
        <v>0</v>
      </c>
    </row>
    <row r="997" spans="1:11" x14ac:dyDescent="0.35">
      <c r="A997" s="3" t="s">
        <v>7</v>
      </c>
      <c r="B997" s="3">
        <v>994</v>
      </c>
      <c r="C997" s="3">
        <v>405</v>
      </c>
      <c r="D997" s="15">
        <v>0</v>
      </c>
      <c r="E997" s="1">
        <f t="shared" si="90"/>
        <v>0</v>
      </c>
      <c r="F997">
        <f t="shared" si="91"/>
        <v>0</v>
      </c>
      <c r="G997">
        <f t="shared" si="92"/>
        <v>0</v>
      </c>
      <c r="I997">
        <f t="shared" si="93"/>
        <v>5.5555555555555556E-4</v>
      </c>
      <c r="J997">
        <f t="shared" si="94"/>
        <v>0</v>
      </c>
      <c r="K997">
        <f t="shared" si="95"/>
        <v>0</v>
      </c>
    </row>
    <row r="998" spans="1:11" x14ac:dyDescent="0.35">
      <c r="A998" s="3" t="s">
        <v>7</v>
      </c>
      <c r="B998" s="3">
        <v>995</v>
      </c>
      <c r="C998" s="3">
        <v>406</v>
      </c>
      <c r="D998" s="15">
        <v>0</v>
      </c>
      <c r="E998" s="1">
        <f t="shared" si="90"/>
        <v>0</v>
      </c>
      <c r="F998">
        <f t="shared" si="91"/>
        <v>0</v>
      </c>
      <c r="G998">
        <f t="shared" si="92"/>
        <v>0</v>
      </c>
      <c r="I998">
        <f t="shared" si="93"/>
        <v>5.5555555555555556E-4</v>
      </c>
      <c r="J998">
        <f t="shared" si="94"/>
        <v>0</v>
      </c>
      <c r="K998">
        <f t="shared" si="95"/>
        <v>0</v>
      </c>
    </row>
    <row r="999" spans="1:11" x14ac:dyDescent="0.35">
      <c r="A999" s="3" t="s">
        <v>7</v>
      </c>
      <c r="B999" s="3">
        <v>996</v>
      </c>
      <c r="C999" s="3">
        <v>407</v>
      </c>
      <c r="D999" s="15">
        <v>0</v>
      </c>
      <c r="E999" s="1">
        <f t="shared" si="90"/>
        <v>0</v>
      </c>
      <c r="F999">
        <f t="shared" si="91"/>
        <v>0</v>
      </c>
      <c r="G999">
        <f t="shared" si="92"/>
        <v>0</v>
      </c>
      <c r="I999">
        <f t="shared" si="93"/>
        <v>5.5555555555555556E-4</v>
      </c>
      <c r="J999">
        <f t="shared" si="94"/>
        <v>0</v>
      </c>
      <c r="K999">
        <f t="shared" si="95"/>
        <v>0</v>
      </c>
    </row>
    <row r="1000" spans="1:11" x14ac:dyDescent="0.35">
      <c r="A1000" s="3" t="s">
        <v>7</v>
      </c>
      <c r="B1000" s="3">
        <v>997</v>
      </c>
      <c r="C1000" s="3">
        <v>408</v>
      </c>
      <c r="D1000" s="15">
        <v>0</v>
      </c>
      <c r="E1000" s="1">
        <f t="shared" si="90"/>
        <v>0</v>
      </c>
      <c r="F1000">
        <f t="shared" si="91"/>
        <v>0</v>
      </c>
      <c r="G1000">
        <f t="shared" si="92"/>
        <v>0</v>
      </c>
      <c r="I1000">
        <f t="shared" si="93"/>
        <v>5.5555555555555556E-4</v>
      </c>
      <c r="J1000">
        <f t="shared" si="94"/>
        <v>0</v>
      </c>
      <c r="K1000">
        <f t="shared" si="95"/>
        <v>0</v>
      </c>
    </row>
    <row r="1001" spans="1:11" x14ac:dyDescent="0.35">
      <c r="A1001" s="3" t="s">
        <v>7</v>
      </c>
      <c r="B1001" s="3">
        <v>998</v>
      </c>
      <c r="C1001" s="3">
        <v>409</v>
      </c>
      <c r="D1001" s="15">
        <v>0</v>
      </c>
      <c r="E1001" s="1">
        <f t="shared" si="90"/>
        <v>0</v>
      </c>
      <c r="F1001">
        <f t="shared" si="91"/>
        <v>0</v>
      </c>
      <c r="G1001">
        <f t="shared" si="92"/>
        <v>0</v>
      </c>
      <c r="I1001">
        <f t="shared" si="93"/>
        <v>5.5555555555555556E-4</v>
      </c>
      <c r="J1001">
        <f t="shared" si="94"/>
        <v>0</v>
      </c>
      <c r="K1001">
        <f t="shared" si="95"/>
        <v>0</v>
      </c>
    </row>
    <row r="1002" spans="1:11" x14ac:dyDescent="0.35">
      <c r="A1002" s="3" t="s">
        <v>7</v>
      </c>
      <c r="B1002" s="3">
        <v>999</v>
      </c>
      <c r="C1002" s="3">
        <v>410</v>
      </c>
      <c r="D1002" s="15">
        <v>0</v>
      </c>
      <c r="E1002" s="1">
        <f t="shared" si="90"/>
        <v>0</v>
      </c>
      <c r="F1002">
        <f t="shared" si="91"/>
        <v>0</v>
      </c>
      <c r="G1002">
        <f t="shared" si="92"/>
        <v>0</v>
      </c>
      <c r="I1002">
        <f t="shared" si="93"/>
        <v>5.5555555555555556E-4</v>
      </c>
      <c r="J1002">
        <f t="shared" si="94"/>
        <v>0</v>
      </c>
      <c r="K1002">
        <f t="shared" si="95"/>
        <v>0</v>
      </c>
    </row>
    <row r="1003" spans="1:11" x14ac:dyDescent="0.35">
      <c r="A1003" s="3" t="s">
        <v>7</v>
      </c>
      <c r="B1003" s="3">
        <v>1000</v>
      </c>
      <c r="C1003" s="3">
        <v>411</v>
      </c>
      <c r="D1003" s="15">
        <v>0</v>
      </c>
      <c r="E1003" s="1">
        <f t="shared" si="90"/>
        <v>0</v>
      </c>
      <c r="F1003">
        <f t="shared" si="91"/>
        <v>0</v>
      </c>
      <c r="G1003">
        <f t="shared" si="92"/>
        <v>0</v>
      </c>
      <c r="I1003">
        <f t="shared" si="93"/>
        <v>5.5555555555555556E-4</v>
      </c>
      <c r="J1003">
        <f t="shared" si="94"/>
        <v>0</v>
      </c>
      <c r="K1003">
        <f t="shared" si="95"/>
        <v>0</v>
      </c>
    </row>
    <row r="1004" spans="1:11" x14ac:dyDescent="0.35">
      <c r="A1004" s="3" t="s">
        <v>7</v>
      </c>
      <c r="B1004" s="3">
        <v>1001</v>
      </c>
      <c r="C1004" s="3">
        <v>412</v>
      </c>
      <c r="D1004" s="15">
        <v>0</v>
      </c>
      <c r="E1004" s="1">
        <f t="shared" si="90"/>
        <v>0</v>
      </c>
      <c r="F1004">
        <f t="shared" si="91"/>
        <v>0</v>
      </c>
      <c r="G1004">
        <f t="shared" si="92"/>
        <v>0</v>
      </c>
      <c r="I1004">
        <f t="shared" si="93"/>
        <v>5.5555555555555556E-4</v>
      </c>
      <c r="J1004">
        <f t="shared" si="94"/>
        <v>0</v>
      </c>
      <c r="K1004">
        <f t="shared" si="95"/>
        <v>0</v>
      </c>
    </row>
    <row r="1005" spans="1:11" x14ac:dyDescent="0.35">
      <c r="A1005" s="3" t="s">
        <v>7</v>
      </c>
      <c r="B1005" s="3">
        <v>1002</v>
      </c>
      <c r="C1005" s="3">
        <v>413</v>
      </c>
      <c r="D1005" s="15">
        <v>0</v>
      </c>
      <c r="E1005" s="1">
        <f t="shared" si="90"/>
        <v>0</v>
      </c>
      <c r="F1005">
        <f t="shared" si="91"/>
        <v>0</v>
      </c>
      <c r="G1005">
        <f t="shared" si="92"/>
        <v>0</v>
      </c>
      <c r="I1005">
        <f t="shared" si="93"/>
        <v>5.5555555555555556E-4</v>
      </c>
      <c r="J1005">
        <f t="shared" si="94"/>
        <v>0</v>
      </c>
      <c r="K1005">
        <f t="shared" si="95"/>
        <v>0</v>
      </c>
    </row>
    <row r="1006" spans="1:11" x14ac:dyDescent="0.35">
      <c r="A1006" s="3" t="s">
        <v>7</v>
      </c>
      <c r="B1006" s="3">
        <v>1003</v>
      </c>
      <c r="C1006" s="3">
        <v>414</v>
      </c>
      <c r="D1006" s="15">
        <v>0</v>
      </c>
      <c r="E1006" s="1">
        <f t="shared" si="90"/>
        <v>0</v>
      </c>
      <c r="F1006">
        <f t="shared" si="91"/>
        <v>0</v>
      </c>
      <c r="G1006">
        <f t="shared" si="92"/>
        <v>0</v>
      </c>
      <c r="I1006">
        <f t="shared" si="93"/>
        <v>5.5555555555555556E-4</v>
      </c>
      <c r="J1006">
        <f t="shared" si="94"/>
        <v>0</v>
      </c>
      <c r="K1006">
        <f t="shared" si="95"/>
        <v>0</v>
      </c>
    </row>
    <row r="1007" spans="1:11" x14ac:dyDescent="0.35">
      <c r="A1007" s="3" t="s">
        <v>7</v>
      </c>
      <c r="B1007" s="3">
        <v>1004</v>
      </c>
      <c r="C1007" s="3">
        <v>415</v>
      </c>
      <c r="D1007" s="15">
        <v>0</v>
      </c>
      <c r="E1007" s="1">
        <f t="shared" si="90"/>
        <v>0</v>
      </c>
      <c r="F1007">
        <f t="shared" si="91"/>
        <v>0</v>
      </c>
      <c r="G1007">
        <f t="shared" si="92"/>
        <v>0</v>
      </c>
      <c r="I1007">
        <f t="shared" si="93"/>
        <v>5.5555555555555556E-4</v>
      </c>
      <c r="J1007">
        <f t="shared" si="94"/>
        <v>0</v>
      </c>
      <c r="K1007">
        <f t="shared" si="95"/>
        <v>0</v>
      </c>
    </row>
    <row r="1008" spans="1:11" x14ac:dyDescent="0.35">
      <c r="A1008" s="3" t="s">
        <v>7</v>
      </c>
      <c r="B1008" s="3">
        <v>1005</v>
      </c>
      <c r="C1008" s="3">
        <v>416</v>
      </c>
      <c r="D1008" s="15">
        <v>0</v>
      </c>
      <c r="E1008" s="1">
        <f t="shared" si="90"/>
        <v>0</v>
      </c>
      <c r="F1008">
        <f t="shared" si="91"/>
        <v>0</v>
      </c>
      <c r="G1008">
        <f t="shared" si="92"/>
        <v>0</v>
      </c>
      <c r="I1008">
        <f t="shared" si="93"/>
        <v>5.5555555555555556E-4</v>
      </c>
      <c r="J1008">
        <f t="shared" si="94"/>
        <v>0</v>
      </c>
      <c r="K1008">
        <f t="shared" si="95"/>
        <v>0</v>
      </c>
    </row>
    <row r="1009" spans="1:11" x14ac:dyDescent="0.35">
      <c r="A1009" s="3" t="s">
        <v>7</v>
      </c>
      <c r="B1009" s="3">
        <v>1006</v>
      </c>
      <c r="C1009" s="3">
        <v>417</v>
      </c>
      <c r="D1009" s="15">
        <v>0</v>
      </c>
      <c r="E1009" s="1">
        <f t="shared" si="90"/>
        <v>0</v>
      </c>
      <c r="F1009">
        <f t="shared" si="91"/>
        <v>0</v>
      </c>
      <c r="G1009">
        <f t="shared" si="92"/>
        <v>0</v>
      </c>
      <c r="I1009">
        <f t="shared" si="93"/>
        <v>5.5555555555555556E-4</v>
      </c>
      <c r="J1009">
        <f t="shared" si="94"/>
        <v>0</v>
      </c>
      <c r="K1009">
        <f t="shared" si="95"/>
        <v>0</v>
      </c>
    </row>
    <row r="1010" spans="1:11" x14ac:dyDescent="0.35">
      <c r="A1010" s="3" t="s">
        <v>7</v>
      </c>
      <c r="B1010" s="3">
        <v>1007</v>
      </c>
      <c r="C1010" s="3">
        <v>418</v>
      </c>
      <c r="D1010" s="15">
        <v>0</v>
      </c>
      <c r="E1010" s="1">
        <f t="shared" si="90"/>
        <v>0</v>
      </c>
      <c r="F1010">
        <f t="shared" si="91"/>
        <v>0</v>
      </c>
      <c r="G1010">
        <f t="shared" si="92"/>
        <v>0</v>
      </c>
      <c r="I1010">
        <f t="shared" si="93"/>
        <v>5.5555555555555556E-4</v>
      </c>
      <c r="J1010">
        <f t="shared" si="94"/>
        <v>0</v>
      </c>
      <c r="K1010">
        <f t="shared" si="95"/>
        <v>0</v>
      </c>
    </row>
    <row r="1011" spans="1:11" x14ac:dyDescent="0.35">
      <c r="A1011" s="3" t="s">
        <v>7</v>
      </c>
      <c r="B1011" s="3">
        <v>1008</v>
      </c>
      <c r="C1011" s="3">
        <v>419</v>
      </c>
      <c r="D1011" s="15">
        <v>0</v>
      </c>
      <c r="E1011" s="1">
        <f t="shared" si="90"/>
        <v>0</v>
      </c>
      <c r="F1011">
        <f t="shared" si="91"/>
        <v>0</v>
      </c>
      <c r="G1011">
        <f t="shared" si="92"/>
        <v>0</v>
      </c>
      <c r="I1011">
        <f t="shared" si="93"/>
        <v>5.5555555555555556E-4</v>
      </c>
      <c r="J1011">
        <f t="shared" si="94"/>
        <v>0</v>
      </c>
      <c r="K1011">
        <f t="shared" si="95"/>
        <v>0</v>
      </c>
    </row>
    <row r="1012" spans="1:11" x14ac:dyDescent="0.35">
      <c r="A1012" s="3" t="s">
        <v>7</v>
      </c>
      <c r="B1012" s="3">
        <v>1009</v>
      </c>
      <c r="C1012" s="3">
        <v>420</v>
      </c>
      <c r="D1012" s="15">
        <v>0</v>
      </c>
      <c r="E1012" s="1">
        <f t="shared" si="90"/>
        <v>0</v>
      </c>
      <c r="F1012">
        <f t="shared" si="91"/>
        <v>0</v>
      </c>
      <c r="G1012">
        <f t="shared" si="92"/>
        <v>0</v>
      </c>
      <c r="I1012">
        <f t="shared" si="93"/>
        <v>5.5555555555555556E-4</v>
      </c>
      <c r="J1012">
        <f t="shared" si="94"/>
        <v>0</v>
      </c>
      <c r="K1012">
        <f t="shared" si="95"/>
        <v>0</v>
      </c>
    </row>
    <row r="1013" spans="1:11" x14ac:dyDescent="0.35">
      <c r="A1013" s="3" t="s">
        <v>7</v>
      </c>
      <c r="B1013" s="3">
        <v>1010</v>
      </c>
      <c r="C1013" s="3">
        <v>421</v>
      </c>
      <c r="D1013" s="15">
        <v>0</v>
      </c>
      <c r="E1013" s="1">
        <f t="shared" si="90"/>
        <v>0</v>
      </c>
      <c r="F1013">
        <f t="shared" si="91"/>
        <v>0</v>
      </c>
      <c r="G1013">
        <f t="shared" si="92"/>
        <v>0</v>
      </c>
      <c r="I1013">
        <f t="shared" si="93"/>
        <v>5.5555555555555556E-4</v>
      </c>
      <c r="J1013">
        <f t="shared" si="94"/>
        <v>0</v>
      </c>
      <c r="K1013">
        <f t="shared" si="95"/>
        <v>0</v>
      </c>
    </row>
    <row r="1014" spans="1:11" x14ac:dyDescent="0.35">
      <c r="A1014" s="3" t="s">
        <v>7</v>
      </c>
      <c r="B1014" s="3">
        <v>1011</v>
      </c>
      <c r="C1014" s="3">
        <v>422</v>
      </c>
      <c r="D1014" s="15">
        <v>0</v>
      </c>
      <c r="E1014" s="1">
        <f t="shared" si="90"/>
        <v>0</v>
      </c>
      <c r="F1014">
        <f t="shared" si="91"/>
        <v>0</v>
      </c>
      <c r="G1014">
        <f t="shared" si="92"/>
        <v>0</v>
      </c>
      <c r="I1014">
        <f t="shared" si="93"/>
        <v>5.5555555555555556E-4</v>
      </c>
      <c r="J1014">
        <f t="shared" si="94"/>
        <v>0</v>
      </c>
      <c r="K1014">
        <f t="shared" si="95"/>
        <v>0</v>
      </c>
    </row>
    <row r="1015" spans="1:11" x14ac:dyDescent="0.35">
      <c r="A1015" s="3" t="s">
        <v>7</v>
      </c>
      <c r="B1015" s="3">
        <v>1012</v>
      </c>
      <c r="C1015" s="3">
        <v>423</v>
      </c>
      <c r="D1015" s="15">
        <v>0</v>
      </c>
      <c r="E1015" s="1">
        <f t="shared" si="90"/>
        <v>0</v>
      </c>
      <c r="F1015">
        <f t="shared" si="91"/>
        <v>0</v>
      </c>
      <c r="G1015">
        <f t="shared" si="92"/>
        <v>0</v>
      </c>
      <c r="I1015">
        <f t="shared" si="93"/>
        <v>5.5555555555555556E-4</v>
      </c>
      <c r="J1015">
        <f t="shared" si="94"/>
        <v>0</v>
      </c>
      <c r="K1015">
        <f t="shared" si="95"/>
        <v>0</v>
      </c>
    </row>
    <row r="1016" spans="1:11" x14ac:dyDescent="0.35">
      <c r="A1016" s="3" t="s">
        <v>7</v>
      </c>
      <c r="B1016" s="3">
        <v>1013</v>
      </c>
      <c r="C1016" s="3">
        <v>424</v>
      </c>
      <c r="D1016" s="15">
        <v>0</v>
      </c>
      <c r="E1016" s="1">
        <f t="shared" si="90"/>
        <v>0</v>
      </c>
      <c r="F1016">
        <f t="shared" si="91"/>
        <v>0</v>
      </c>
      <c r="G1016">
        <f t="shared" si="92"/>
        <v>0</v>
      </c>
      <c r="I1016">
        <f t="shared" si="93"/>
        <v>5.5555555555555556E-4</v>
      </c>
      <c r="J1016">
        <f t="shared" si="94"/>
        <v>0</v>
      </c>
      <c r="K1016">
        <f t="shared" si="95"/>
        <v>0</v>
      </c>
    </row>
    <row r="1017" spans="1:11" x14ac:dyDescent="0.35">
      <c r="A1017" s="3" t="s">
        <v>7</v>
      </c>
      <c r="B1017" s="3">
        <v>1014</v>
      </c>
      <c r="C1017" s="3">
        <v>425</v>
      </c>
      <c r="D1017" s="15">
        <v>0</v>
      </c>
      <c r="E1017" s="1">
        <f t="shared" si="90"/>
        <v>0</v>
      </c>
      <c r="F1017">
        <f t="shared" si="91"/>
        <v>0</v>
      </c>
      <c r="G1017">
        <f t="shared" si="92"/>
        <v>0</v>
      </c>
      <c r="I1017">
        <f t="shared" si="93"/>
        <v>5.5555555555555556E-4</v>
      </c>
      <c r="J1017">
        <f t="shared" si="94"/>
        <v>0</v>
      </c>
      <c r="K1017">
        <f t="shared" si="95"/>
        <v>0</v>
      </c>
    </row>
    <row r="1018" spans="1:11" x14ac:dyDescent="0.35">
      <c r="A1018" s="3" t="s">
        <v>7</v>
      </c>
      <c r="B1018" s="3">
        <v>1015</v>
      </c>
      <c r="C1018" s="3">
        <v>426</v>
      </c>
      <c r="D1018" s="15">
        <v>0</v>
      </c>
      <c r="E1018" s="1">
        <f t="shared" si="90"/>
        <v>0</v>
      </c>
      <c r="F1018">
        <f t="shared" si="91"/>
        <v>0</v>
      </c>
      <c r="G1018">
        <f t="shared" si="92"/>
        <v>0</v>
      </c>
      <c r="I1018">
        <f t="shared" si="93"/>
        <v>5.5555555555555556E-4</v>
      </c>
      <c r="J1018">
        <f t="shared" si="94"/>
        <v>0</v>
      </c>
      <c r="K1018">
        <f t="shared" si="95"/>
        <v>0</v>
      </c>
    </row>
    <row r="1019" spans="1:11" x14ac:dyDescent="0.35">
      <c r="A1019" s="3" t="s">
        <v>7</v>
      </c>
      <c r="B1019" s="3">
        <v>1016</v>
      </c>
      <c r="C1019" s="3">
        <v>427</v>
      </c>
      <c r="D1019" s="15">
        <v>0</v>
      </c>
      <c r="E1019" s="1">
        <f t="shared" si="90"/>
        <v>0</v>
      </c>
      <c r="F1019">
        <f t="shared" si="91"/>
        <v>0</v>
      </c>
      <c r="G1019">
        <f t="shared" si="92"/>
        <v>0</v>
      </c>
      <c r="I1019">
        <f t="shared" si="93"/>
        <v>5.5555555555555556E-4</v>
      </c>
      <c r="J1019">
        <f t="shared" si="94"/>
        <v>0</v>
      </c>
      <c r="K1019">
        <f t="shared" si="95"/>
        <v>0</v>
      </c>
    </row>
    <row r="1020" spans="1:11" x14ac:dyDescent="0.35">
      <c r="A1020" s="3" t="s">
        <v>7</v>
      </c>
      <c r="B1020" s="3">
        <v>1017</v>
      </c>
      <c r="C1020" s="3">
        <v>428</v>
      </c>
      <c r="D1020" s="15">
        <v>0</v>
      </c>
      <c r="E1020" s="1">
        <f t="shared" si="90"/>
        <v>0</v>
      </c>
      <c r="F1020">
        <f t="shared" si="91"/>
        <v>0</v>
      </c>
      <c r="G1020">
        <f t="shared" si="92"/>
        <v>0</v>
      </c>
      <c r="I1020">
        <f t="shared" si="93"/>
        <v>5.5555555555555556E-4</v>
      </c>
      <c r="J1020">
        <f t="shared" si="94"/>
        <v>0</v>
      </c>
      <c r="K1020">
        <f t="shared" si="95"/>
        <v>0</v>
      </c>
    </row>
    <row r="1021" spans="1:11" x14ac:dyDescent="0.35">
      <c r="A1021" s="3" t="s">
        <v>7</v>
      </c>
      <c r="B1021" s="3">
        <v>1018</v>
      </c>
      <c r="C1021" s="3">
        <v>429</v>
      </c>
      <c r="D1021" s="15">
        <v>0</v>
      </c>
      <c r="E1021" s="1">
        <f t="shared" si="90"/>
        <v>0</v>
      </c>
      <c r="F1021">
        <f t="shared" si="91"/>
        <v>0</v>
      </c>
      <c r="G1021">
        <f t="shared" si="92"/>
        <v>0</v>
      </c>
      <c r="I1021">
        <f t="shared" si="93"/>
        <v>5.5555555555555556E-4</v>
      </c>
      <c r="J1021">
        <f t="shared" si="94"/>
        <v>0</v>
      </c>
      <c r="K1021">
        <f t="shared" si="95"/>
        <v>0</v>
      </c>
    </row>
    <row r="1022" spans="1:11" x14ac:dyDescent="0.35">
      <c r="A1022" s="3" t="s">
        <v>7</v>
      </c>
      <c r="B1022" s="3">
        <v>1019</v>
      </c>
      <c r="C1022" s="3">
        <v>430</v>
      </c>
      <c r="D1022" s="15">
        <v>0</v>
      </c>
      <c r="E1022" s="1">
        <f t="shared" si="90"/>
        <v>0</v>
      </c>
      <c r="F1022">
        <f t="shared" si="91"/>
        <v>0</v>
      </c>
      <c r="G1022">
        <f t="shared" si="92"/>
        <v>0</v>
      </c>
      <c r="I1022">
        <f t="shared" si="93"/>
        <v>5.5555555555555556E-4</v>
      </c>
      <c r="J1022">
        <f t="shared" si="94"/>
        <v>0</v>
      </c>
      <c r="K1022">
        <f t="shared" si="95"/>
        <v>0</v>
      </c>
    </row>
    <row r="1023" spans="1:11" x14ac:dyDescent="0.35">
      <c r="A1023" s="3" t="s">
        <v>7</v>
      </c>
      <c r="B1023" s="3">
        <v>1020</v>
      </c>
      <c r="C1023" s="3">
        <v>431</v>
      </c>
      <c r="D1023" s="15">
        <v>0</v>
      </c>
      <c r="E1023" s="1">
        <f t="shared" si="90"/>
        <v>0</v>
      </c>
      <c r="F1023">
        <f t="shared" si="91"/>
        <v>0</v>
      </c>
      <c r="G1023">
        <f t="shared" si="92"/>
        <v>0</v>
      </c>
      <c r="I1023">
        <f t="shared" si="93"/>
        <v>5.5555555555555556E-4</v>
      </c>
      <c r="J1023">
        <f t="shared" si="94"/>
        <v>0</v>
      </c>
      <c r="K1023">
        <f t="shared" si="95"/>
        <v>0</v>
      </c>
    </row>
    <row r="1024" spans="1:11" x14ac:dyDescent="0.35">
      <c r="A1024" s="3" t="s">
        <v>7</v>
      </c>
      <c r="B1024" s="3">
        <v>1021</v>
      </c>
      <c r="C1024" s="3">
        <v>432</v>
      </c>
      <c r="D1024" s="15">
        <v>0</v>
      </c>
      <c r="E1024" s="1">
        <f t="shared" si="90"/>
        <v>0</v>
      </c>
      <c r="F1024">
        <f t="shared" si="91"/>
        <v>0</v>
      </c>
      <c r="G1024">
        <f t="shared" si="92"/>
        <v>0</v>
      </c>
      <c r="I1024">
        <f t="shared" si="93"/>
        <v>5.5555555555555556E-4</v>
      </c>
      <c r="J1024">
        <f t="shared" si="94"/>
        <v>0</v>
      </c>
      <c r="K1024">
        <f t="shared" si="95"/>
        <v>0</v>
      </c>
    </row>
    <row r="1025" spans="1:11" x14ac:dyDescent="0.35">
      <c r="A1025" s="3" t="s">
        <v>7</v>
      </c>
      <c r="B1025" s="3">
        <v>1022</v>
      </c>
      <c r="C1025" s="3">
        <v>433</v>
      </c>
      <c r="D1025" s="15">
        <v>0</v>
      </c>
      <c r="E1025" s="1">
        <f t="shared" si="90"/>
        <v>0</v>
      </c>
      <c r="F1025">
        <f t="shared" si="91"/>
        <v>0</v>
      </c>
      <c r="G1025">
        <f t="shared" si="92"/>
        <v>0</v>
      </c>
      <c r="I1025">
        <f t="shared" si="93"/>
        <v>5.5555555555555556E-4</v>
      </c>
      <c r="J1025">
        <f t="shared" si="94"/>
        <v>0</v>
      </c>
      <c r="K1025">
        <f t="shared" si="95"/>
        <v>0</v>
      </c>
    </row>
    <row r="1026" spans="1:11" x14ac:dyDescent="0.35">
      <c r="A1026" s="5" t="s">
        <v>8</v>
      </c>
      <c r="B1026" s="5">
        <v>1023</v>
      </c>
      <c r="C1026" s="5">
        <v>1</v>
      </c>
      <c r="D1026" s="16">
        <v>0</v>
      </c>
      <c r="E1026" s="1">
        <f t="shared" si="90"/>
        <v>0</v>
      </c>
      <c r="F1026">
        <f t="shared" si="91"/>
        <v>0</v>
      </c>
      <c r="G1026">
        <f t="shared" si="92"/>
        <v>0</v>
      </c>
      <c r="I1026">
        <f t="shared" si="93"/>
        <v>5.5555555555555556E-4</v>
      </c>
      <c r="J1026">
        <f t="shared" si="94"/>
        <v>0</v>
      </c>
      <c r="K1026">
        <f t="shared" si="95"/>
        <v>0</v>
      </c>
    </row>
    <row r="1027" spans="1:11" x14ac:dyDescent="0.35">
      <c r="A1027" s="5" t="s">
        <v>8</v>
      </c>
      <c r="B1027" s="5">
        <v>1024</v>
      </c>
      <c r="C1027" s="5">
        <v>2</v>
      </c>
      <c r="D1027" s="16">
        <v>0</v>
      </c>
      <c r="E1027" s="1">
        <f t="shared" si="90"/>
        <v>0</v>
      </c>
      <c r="F1027">
        <f t="shared" si="91"/>
        <v>0</v>
      </c>
      <c r="G1027">
        <f t="shared" si="92"/>
        <v>0</v>
      </c>
      <c r="I1027">
        <f t="shared" si="93"/>
        <v>5.5555555555555556E-4</v>
      </c>
      <c r="J1027">
        <f t="shared" si="94"/>
        <v>0</v>
      </c>
      <c r="K1027">
        <f t="shared" si="95"/>
        <v>0</v>
      </c>
    </row>
    <row r="1028" spans="1:11" x14ac:dyDescent="0.35">
      <c r="A1028" s="5" t="s">
        <v>8</v>
      </c>
      <c r="B1028" s="5">
        <v>1025</v>
      </c>
      <c r="C1028" s="5">
        <v>3</v>
      </c>
      <c r="D1028" s="16">
        <v>0</v>
      </c>
      <c r="E1028" s="1">
        <f t="shared" si="90"/>
        <v>0</v>
      </c>
      <c r="F1028">
        <f t="shared" si="91"/>
        <v>0</v>
      </c>
      <c r="G1028">
        <f t="shared" si="92"/>
        <v>0</v>
      </c>
      <c r="I1028">
        <f t="shared" si="93"/>
        <v>5.5555555555555556E-4</v>
      </c>
      <c r="J1028">
        <f t="shared" si="94"/>
        <v>0</v>
      </c>
      <c r="K1028">
        <f t="shared" si="95"/>
        <v>0</v>
      </c>
    </row>
    <row r="1029" spans="1:11" x14ac:dyDescent="0.35">
      <c r="A1029" s="5" t="s">
        <v>8</v>
      </c>
      <c r="B1029" s="5">
        <v>1026</v>
      </c>
      <c r="C1029" s="5">
        <v>4</v>
      </c>
      <c r="D1029" s="16">
        <v>0</v>
      </c>
      <c r="E1029" s="1">
        <f t="shared" ref="E1029:E1092" si="96">($D1030-$D1028)/2/3.6</f>
        <v>0.11111111111111112</v>
      </c>
      <c r="F1029">
        <f t="shared" ref="F1029:F1092" si="97">IF(D1029=0,0,MAX(0,0.285*(1600*E1029 + 1600*9.81*0.015 + 0.5*1.225*0.32*2.2*(D1029/3.6)^2)))</f>
        <v>0</v>
      </c>
      <c r="G1029">
        <f t="shared" ref="G1029:G1092" si="98">60*D1029/(2*PI()*3.6*0.285)</f>
        <v>0</v>
      </c>
      <c r="I1029">
        <f t="shared" ref="I1029:I1092" si="99">1/1800</f>
        <v>5.5555555555555556E-4</v>
      </c>
      <c r="J1029">
        <f t="shared" ref="J1029:J1092" si="100">F1029/(M$3*3.6)</f>
        <v>0</v>
      </c>
      <c r="K1029">
        <f t="shared" ref="K1029:K1092" si="101">G1029*3.6/N$3</f>
        <v>0</v>
      </c>
    </row>
    <row r="1030" spans="1:11" x14ac:dyDescent="0.35">
      <c r="A1030" s="5" t="s">
        <v>8</v>
      </c>
      <c r="B1030" s="5">
        <v>1027</v>
      </c>
      <c r="C1030" s="5">
        <v>5</v>
      </c>
      <c r="D1030" s="16">
        <v>0.8</v>
      </c>
      <c r="E1030" s="1">
        <f t="shared" si="96"/>
        <v>0.5</v>
      </c>
      <c r="F1030">
        <f t="shared" si="97"/>
        <v>295.1064687407407</v>
      </c>
      <c r="G1030">
        <f t="shared" si="98"/>
        <v>7.4458452908489052</v>
      </c>
      <c r="I1030">
        <f t="shared" si="99"/>
        <v>5.5555555555555556E-4</v>
      </c>
      <c r="J1030">
        <f t="shared" si="100"/>
        <v>0.40987009547325098</v>
      </c>
      <c r="K1030">
        <f t="shared" si="101"/>
        <v>1.7870028698037374E-2</v>
      </c>
    </row>
    <row r="1031" spans="1:11" x14ac:dyDescent="0.35">
      <c r="A1031" s="5" t="s">
        <v>8</v>
      </c>
      <c r="B1031" s="5">
        <v>1028</v>
      </c>
      <c r="C1031" s="5">
        <v>6</v>
      </c>
      <c r="D1031" s="16">
        <v>3.6</v>
      </c>
      <c r="E1031" s="1">
        <f t="shared" si="96"/>
        <v>1.0833333333333333</v>
      </c>
      <c r="F1031">
        <f t="shared" si="97"/>
        <v>561.2232919999999</v>
      </c>
      <c r="G1031">
        <f t="shared" si="98"/>
        <v>33.506303808820071</v>
      </c>
      <c r="I1031">
        <f t="shared" si="99"/>
        <v>5.5555555555555556E-4</v>
      </c>
      <c r="J1031">
        <f t="shared" si="100"/>
        <v>0.77947679444444429</v>
      </c>
      <c r="K1031">
        <f t="shared" si="101"/>
        <v>8.0415129141168176E-2</v>
      </c>
    </row>
    <row r="1032" spans="1:11" x14ac:dyDescent="0.35">
      <c r="A1032" s="5" t="s">
        <v>8</v>
      </c>
      <c r="B1032" s="5">
        <v>1029</v>
      </c>
      <c r="C1032" s="5">
        <v>7</v>
      </c>
      <c r="D1032" s="16">
        <v>8.6</v>
      </c>
      <c r="E1032" s="1">
        <f t="shared" si="96"/>
        <v>1.5277777777777777</v>
      </c>
      <c r="F1032">
        <f t="shared" si="97"/>
        <v>764.46838551851852</v>
      </c>
      <c r="G1032">
        <f t="shared" si="98"/>
        <v>80.042836876625728</v>
      </c>
      <c r="I1032">
        <f t="shared" si="99"/>
        <v>5.5555555555555556E-4</v>
      </c>
      <c r="J1032">
        <f t="shared" si="100"/>
        <v>1.061761646553498</v>
      </c>
      <c r="K1032">
        <f t="shared" si="101"/>
        <v>0.19210280850390177</v>
      </c>
    </row>
    <row r="1033" spans="1:11" x14ac:dyDescent="0.35">
      <c r="A1033" s="5" t="s">
        <v>8</v>
      </c>
      <c r="B1033" s="5">
        <v>1030</v>
      </c>
      <c r="C1033" s="5">
        <v>8</v>
      </c>
      <c r="D1033" s="16">
        <v>14.6</v>
      </c>
      <c r="E1033" s="1">
        <f t="shared" si="96"/>
        <v>1.5833333333333333</v>
      </c>
      <c r="F1033">
        <f t="shared" si="97"/>
        <v>791.12166996296276</v>
      </c>
      <c r="G1033">
        <f t="shared" si="98"/>
        <v>135.88667655799253</v>
      </c>
      <c r="I1033">
        <f t="shared" si="99"/>
        <v>5.5555555555555556E-4</v>
      </c>
      <c r="J1033">
        <f t="shared" si="100"/>
        <v>1.0987800971707815</v>
      </c>
      <c r="K1033">
        <f t="shared" si="101"/>
        <v>0.32612802373918204</v>
      </c>
    </row>
    <row r="1034" spans="1:11" x14ac:dyDescent="0.35">
      <c r="A1034" s="5" t="s">
        <v>8</v>
      </c>
      <c r="B1034" s="5">
        <v>1031</v>
      </c>
      <c r="C1034" s="5">
        <v>9</v>
      </c>
      <c r="D1034" s="16">
        <v>20</v>
      </c>
      <c r="E1034" s="1">
        <f t="shared" si="96"/>
        <v>1.3611111111111109</v>
      </c>
      <c r="F1034">
        <f t="shared" si="97"/>
        <v>691.56002962962941</v>
      </c>
      <c r="G1034">
        <f t="shared" si="98"/>
        <v>186.14613227122263</v>
      </c>
      <c r="I1034">
        <f t="shared" si="99"/>
        <v>5.5555555555555556E-4</v>
      </c>
      <c r="J1034">
        <f t="shared" si="100"/>
        <v>0.96050004115226306</v>
      </c>
      <c r="K1034">
        <f t="shared" si="101"/>
        <v>0.44675071745093436</v>
      </c>
    </row>
    <row r="1035" spans="1:11" x14ac:dyDescent="0.35">
      <c r="A1035" s="5" t="s">
        <v>8</v>
      </c>
      <c r="B1035" s="5">
        <v>1032</v>
      </c>
      <c r="C1035" s="5">
        <v>10</v>
      </c>
      <c r="D1035" s="16">
        <v>24.4</v>
      </c>
      <c r="E1035" s="1">
        <f t="shared" si="96"/>
        <v>1.1388888888888888</v>
      </c>
      <c r="F1035">
        <f t="shared" si="97"/>
        <v>592.07917940740731</v>
      </c>
      <c r="G1035">
        <f t="shared" si="98"/>
        <v>227.09828137089161</v>
      </c>
      <c r="I1035">
        <f t="shared" si="99"/>
        <v>5.5555555555555556E-4</v>
      </c>
      <c r="J1035">
        <f t="shared" si="100"/>
        <v>0.82233219362139909</v>
      </c>
      <c r="K1035">
        <f t="shared" si="101"/>
        <v>0.54503587529013986</v>
      </c>
    </row>
    <row r="1036" spans="1:11" x14ac:dyDescent="0.35">
      <c r="A1036" s="5" t="s">
        <v>8</v>
      </c>
      <c r="B1036" s="5">
        <v>1033</v>
      </c>
      <c r="C1036" s="5">
        <v>11</v>
      </c>
      <c r="D1036" s="16">
        <v>28.2</v>
      </c>
      <c r="E1036" s="1">
        <f t="shared" si="96"/>
        <v>1.0138888888888891</v>
      </c>
      <c r="F1036">
        <f t="shared" si="97"/>
        <v>536.97452299999998</v>
      </c>
      <c r="G1036">
        <f t="shared" si="98"/>
        <v>262.46604650242392</v>
      </c>
      <c r="I1036">
        <f t="shared" si="99"/>
        <v>5.5555555555555556E-4</v>
      </c>
      <c r="J1036">
        <f t="shared" si="100"/>
        <v>0.74579794861111104</v>
      </c>
      <c r="K1036">
        <f t="shared" si="101"/>
        <v>0.62991851160581747</v>
      </c>
    </row>
    <row r="1037" spans="1:11" x14ac:dyDescent="0.35">
      <c r="A1037" s="5" t="s">
        <v>8</v>
      </c>
      <c r="B1037" s="5">
        <v>1034</v>
      </c>
      <c r="C1037" s="5">
        <v>12</v>
      </c>
      <c r="D1037" s="16">
        <v>31.7</v>
      </c>
      <c r="E1037" s="1">
        <f t="shared" si="96"/>
        <v>0.94444444444444453</v>
      </c>
      <c r="F1037">
        <f t="shared" si="97"/>
        <v>507.29584304629634</v>
      </c>
      <c r="G1037">
        <f t="shared" si="98"/>
        <v>295.04161964988788</v>
      </c>
      <c r="I1037">
        <f t="shared" si="99"/>
        <v>5.5555555555555556E-4</v>
      </c>
      <c r="J1037">
        <f t="shared" si="100"/>
        <v>0.7045775597865227</v>
      </c>
      <c r="K1037">
        <f t="shared" si="101"/>
        <v>0.70809988715973093</v>
      </c>
    </row>
    <row r="1038" spans="1:11" x14ac:dyDescent="0.35">
      <c r="A1038" s="5" t="s">
        <v>8</v>
      </c>
      <c r="B1038" s="5">
        <v>1035</v>
      </c>
      <c r="C1038" s="5">
        <v>13</v>
      </c>
      <c r="D1038" s="16">
        <v>35</v>
      </c>
      <c r="E1038" s="1">
        <f t="shared" si="96"/>
        <v>0.81944444444444475</v>
      </c>
      <c r="F1038">
        <f t="shared" si="97"/>
        <v>452.3830157407408</v>
      </c>
      <c r="G1038">
        <f t="shared" si="98"/>
        <v>325.75573147463962</v>
      </c>
      <c r="I1038">
        <f t="shared" si="99"/>
        <v>5.5555555555555556E-4</v>
      </c>
      <c r="J1038">
        <f t="shared" si="100"/>
        <v>0.62830974408436224</v>
      </c>
      <c r="K1038">
        <f t="shared" si="101"/>
        <v>0.78181375553913512</v>
      </c>
    </row>
    <row r="1039" spans="1:11" x14ac:dyDescent="0.35">
      <c r="A1039" s="5" t="s">
        <v>8</v>
      </c>
      <c r="B1039" s="5">
        <v>1036</v>
      </c>
      <c r="C1039" s="5">
        <v>14</v>
      </c>
      <c r="D1039" s="16">
        <v>37.6</v>
      </c>
      <c r="E1039" s="1">
        <f t="shared" si="96"/>
        <v>0.65277777777777812</v>
      </c>
      <c r="F1039">
        <f t="shared" si="97"/>
        <v>378.17291496296315</v>
      </c>
      <c r="G1039">
        <f t="shared" si="98"/>
        <v>349.95472866989854</v>
      </c>
      <c r="I1039">
        <f t="shared" si="99"/>
        <v>5.5555555555555556E-4</v>
      </c>
      <c r="J1039">
        <f t="shared" si="100"/>
        <v>0.52524015967078219</v>
      </c>
      <c r="K1039">
        <f t="shared" si="101"/>
        <v>0.83989134880775651</v>
      </c>
    </row>
    <row r="1040" spans="1:11" x14ac:dyDescent="0.35">
      <c r="A1040" s="5" t="s">
        <v>8</v>
      </c>
      <c r="B1040" s="5">
        <v>1037</v>
      </c>
      <c r="C1040" s="5">
        <v>15</v>
      </c>
      <c r="D1040" s="16">
        <v>39.700000000000003</v>
      </c>
      <c r="E1040" s="1">
        <f t="shared" si="96"/>
        <v>0.54166666666666641</v>
      </c>
      <c r="F1040">
        <f t="shared" si="97"/>
        <v>329.0455274907406</v>
      </c>
      <c r="G1040">
        <f t="shared" si="98"/>
        <v>369.50007255837693</v>
      </c>
      <c r="I1040">
        <f t="shared" si="99"/>
        <v>5.5555555555555556E-4</v>
      </c>
      <c r="J1040">
        <f t="shared" si="100"/>
        <v>0.45700767707047307</v>
      </c>
      <c r="K1040">
        <f t="shared" si="101"/>
        <v>0.88680017414010459</v>
      </c>
    </row>
    <row r="1041" spans="1:11" x14ac:dyDescent="0.35">
      <c r="A1041" s="5" t="s">
        <v>8</v>
      </c>
      <c r="B1041" s="5">
        <v>1038</v>
      </c>
      <c r="C1041" s="5">
        <v>16</v>
      </c>
      <c r="D1041" s="16">
        <v>41.5</v>
      </c>
      <c r="E1041" s="1">
        <f t="shared" si="96"/>
        <v>0.54166666666666641</v>
      </c>
      <c r="F1041">
        <f t="shared" si="97"/>
        <v>330.4314761574073</v>
      </c>
      <c r="G1041">
        <f t="shared" si="98"/>
        <v>386.25322446278699</v>
      </c>
      <c r="I1041">
        <f t="shared" si="99"/>
        <v>5.5555555555555556E-4</v>
      </c>
      <c r="J1041">
        <f t="shared" si="100"/>
        <v>0.45893260577417683</v>
      </c>
      <c r="K1041">
        <f t="shared" si="101"/>
        <v>0.92700773871068876</v>
      </c>
    </row>
    <row r="1042" spans="1:11" x14ac:dyDescent="0.35">
      <c r="A1042" s="5" t="s">
        <v>8</v>
      </c>
      <c r="B1042" s="5">
        <v>1039</v>
      </c>
      <c r="C1042" s="5">
        <v>17</v>
      </c>
      <c r="D1042" s="16">
        <v>43.6</v>
      </c>
      <c r="E1042" s="1">
        <f t="shared" si="96"/>
        <v>0.625</v>
      </c>
      <c r="F1042">
        <f t="shared" si="97"/>
        <v>370.12607718518512</v>
      </c>
      <c r="G1042">
        <f t="shared" si="98"/>
        <v>405.79856835126532</v>
      </c>
      <c r="I1042">
        <f t="shared" si="99"/>
        <v>5.5555555555555556E-4</v>
      </c>
      <c r="J1042">
        <f t="shared" si="100"/>
        <v>0.51406399609053488</v>
      </c>
      <c r="K1042">
        <f t="shared" si="101"/>
        <v>0.97391656404303684</v>
      </c>
    </row>
    <row r="1043" spans="1:11" x14ac:dyDescent="0.35">
      <c r="A1043" s="5" t="s">
        <v>8</v>
      </c>
      <c r="B1043" s="5">
        <v>1040</v>
      </c>
      <c r="C1043" s="5">
        <v>18</v>
      </c>
      <c r="D1043" s="16">
        <v>46</v>
      </c>
      <c r="E1043" s="1">
        <f t="shared" si="96"/>
        <v>0.6666666666666663</v>
      </c>
      <c r="F1043">
        <f t="shared" si="97"/>
        <v>391.16517407407389</v>
      </c>
      <c r="G1043">
        <f t="shared" si="98"/>
        <v>428.13610422381208</v>
      </c>
      <c r="I1043">
        <f t="shared" si="99"/>
        <v>5.5555555555555556E-4</v>
      </c>
      <c r="J1043">
        <f t="shared" si="100"/>
        <v>0.54328496399176929</v>
      </c>
      <c r="K1043">
        <f t="shared" si="101"/>
        <v>1.0275266501371489</v>
      </c>
    </row>
    <row r="1044" spans="1:11" x14ac:dyDescent="0.35">
      <c r="A1044" s="5" t="s">
        <v>8</v>
      </c>
      <c r="B1044" s="5">
        <v>1041</v>
      </c>
      <c r="C1044" s="5">
        <v>19</v>
      </c>
      <c r="D1044" s="16">
        <v>48.4</v>
      </c>
      <c r="E1044" s="1">
        <f t="shared" si="96"/>
        <v>0.625</v>
      </c>
      <c r="F1044">
        <f t="shared" si="97"/>
        <v>374.31350829629628</v>
      </c>
      <c r="G1044">
        <f t="shared" si="98"/>
        <v>450.47364009635879</v>
      </c>
      <c r="I1044">
        <f t="shared" si="99"/>
        <v>5.5555555555555556E-4</v>
      </c>
      <c r="J1044">
        <f t="shared" si="100"/>
        <v>0.5198798726337448</v>
      </c>
      <c r="K1044">
        <f t="shared" si="101"/>
        <v>1.0811367362312612</v>
      </c>
    </row>
    <row r="1045" spans="1:11" x14ac:dyDescent="0.35">
      <c r="A1045" s="5" t="s">
        <v>8</v>
      </c>
      <c r="B1045" s="5">
        <v>1042</v>
      </c>
      <c r="C1045" s="5">
        <v>20</v>
      </c>
      <c r="D1045" s="16">
        <v>50.5</v>
      </c>
      <c r="E1045" s="1">
        <f t="shared" si="96"/>
        <v>0.4861111111111111</v>
      </c>
      <c r="F1045">
        <f t="shared" si="97"/>
        <v>312.94957615740731</v>
      </c>
      <c r="G1045">
        <f t="shared" si="98"/>
        <v>470.01898398483718</v>
      </c>
      <c r="I1045">
        <f t="shared" si="99"/>
        <v>5.5555555555555556E-4</v>
      </c>
      <c r="J1045">
        <f t="shared" si="100"/>
        <v>0.43465218910751013</v>
      </c>
      <c r="K1045">
        <f t="shared" si="101"/>
        <v>1.1280455615636091</v>
      </c>
    </row>
    <row r="1046" spans="1:11" x14ac:dyDescent="0.35">
      <c r="A1046" s="5" t="s">
        <v>8</v>
      </c>
      <c r="B1046" s="5">
        <v>1043</v>
      </c>
      <c r="C1046" s="5">
        <v>21</v>
      </c>
      <c r="D1046" s="16">
        <v>51.9</v>
      </c>
      <c r="E1046" s="1">
        <f t="shared" si="96"/>
        <v>0.29166666666666685</v>
      </c>
      <c r="F1046">
        <f t="shared" si="97"/>
        <v>225.64230741666677</v>
      </c>
      <c r="G1046">
        <f t="shared" si="98"/>
        <v>483.04921324382275</v>
      </c>
      <c r="I1046">
        <f t="shared" si="99"/>
        <v>5.5555555555555556E-4</v>
      </c>
      <c r="J1046">
        <f t="shared" si="100"/>
        <v>0.31339209363425941</v>
      </c>
      <c r="K1046">
        <f t="shared" si="101"/>
        <v>1.1593181117851745</v>
      </c>
    </row>
    <row r="1047" spans="1:11" x14ac:dyDescent="0.35">
      <c r="A1047" s="5" t="s">
        <v>8</v>
      </c>
      <c r="B1047" s="5">
        <v>1044</v>
      </c>
      <c r="C1047" s="5">
        <v>22</v>
      </c>
      <c r="D1047" s="16">
        <v>52.6</v>
      </c>
      <c r="E1047" s="1">
        <f t="shared" si="96"/>
        <v>0.12499999999999981</v>
      </c>
      <c r="F1047">
        <f t="shared" si="97"/>
        <v>150.33594551851843</v>
      </c>
      <c r="G1047">
        <f t="shared" si="98"/>
        <v>489.56432787331551</v>
      </c>
      <c r="I1047">
        <f t="shared" si="99"/>
        <v>5.5555555555555556E-4</v>
      </c>
      <c r="J1047">
        <f t="shared" si="100"/>
        <v>0.20879992433127559</v>
      </c>
      <c r="K1047">
        <f t="shared" si="101"/>
        <v>1.1749543868959571</v>
      </c>
    </row>
    <row r="1048" spans="1:11" x14ac:dyDescent="0.35">
      <c r="A1048" s="5" t="s">
        <v>8</v>
      </c>
      <c r="B1048" s="5">
        <v>1045</v>
      </c>
      <c r="C1048" s="5">
        <v>23</v>
      </c>
      <c r="D1048" s="16">
        <v>52.8</v>
      </c>
      <c r="E1048" s="1">
        <f t="shared" si="96"/>
        <v>4.1666666666666269E-2</v>
      </c>
      <c r="F1048">
        <f t="shared" si="97"/>
        <v>112.53583466666647</v>
      </c>
      <c r="G1048">
        <f t="shared" si="98"/>
        <v>491.42578919602778</v>
      </c>
      <c r="I1048">
        <f t="shared" si="99"/>
        <v>5.5555555555555556E-4</v>
      </c>
      <c r="J1048">
        <f t="shared" si="100"/>
        <v>0.1562997703703701</v>
      </c>
      <c r="K1048">
        <f t="shared" si="101"/>
        <v>1.1794218940704666</v>
      </c>
    </row>
    <row r="1049" spans="1:11" x14ac:dyDescent="0.35">
      <c r="A1049" s="5" t="s">
        <v>8</v>
      </c>
      <c r="B1049" s="5">
        <v>1046</v>
      </c>
      <c r="C1049" s="5">
        <v>24</v>
      </c>
      <c r="D1049" s="16">
        <v>52.9</v>
      </c>
      <c r="E1049" s="1">
        <f t="shared" si="96"/>
        <v>4.1666666666667261E-2</v>
      </c>
      <c r="F1049">
        <f t="shared" si="97"/>
        <v>112.63606371296322</v>
      </c>
      <c r="G1049">
        <f t="shared" si="98"/>
        <v>492.35651985738389</v>
      </c>
      <c r="I1049">
        <f t="shared" si="99"/>
        <v>5.5555555555555556E-4</v>
      </c>
      <c r="J1049">
        <f t="shared" si="100"/>
        <v>0.15643897737911558</v>
      </c>
      <c r="K1049">
        <f t="shared" si="101"/>
        <v>1.1816556476577214</v>
      </c>
    </row>
    <row r="1050" spans="1:11" x14ac:dyDescent="0.35">
      <c r="A1050" s="5" t="s">
        <v>8</v>
      </c>
      <c r="B1050" s="5">
        <v>1047</v>
      </c>
      <c r="C1050" s="5">
        <v>25</v>
      </c>
      <c r="D1050" s="16">
        <v>53.1</v>
      </c>
      <c r="E1050" s="1">
        <f t="shared" si="96"/>
        <v>5.5555555555555358E-2</v>
      </c>
      <c r="F1050">
        <f t="shared" si="97"/>
        <v>119.17042408333323</v>
      </c>
      <c r="G1050">
        <f t="shared" si="98"/>
        <v>494.2179811800961</v>
      </c>
      <c r="I1050">
        <f t="shared" si="99"/>
        <v>5.5555555555555556E-4</v>
      </c>
      <c r="J1050">
        <f t="shared" si="100"/>
        <v>0.16551447789351836</v>
      </c>
      <c r="K1050">
        <f t="shared" si="101"/>
        <v>1.1861231548322306</v>
      </c>
    </row>
    <row r="1051" spans="1:11" x14ac:dyDescent="0.35">
      <c r="A1051" s="5" t="s">
        <v>8</v>
      </c>
      <c r="B1051" s="5">
        <v>1048</v>
      </c>
      <c r="C1051" s="5">
        <v>26</v>
      </c>
      <c r="D1051" s="16">
        <v>53.3</v>
      </c>
      <c r="E1051" s="1">
        <f t="shared" si="96"/>
        <v>0</v>
      </c>
      <c r="F1051">
        <f t="shared" si="97"/>
        <v>94.038876379629613</v>
      </c>
      <c r="G1051">
        <f t="shared" si="98"/>
        <v>496.07944250280832</v>
      </c>
      <c r="I1051">
        <f t="shared" si="99"/>
        <v>5.5555555555555556E-4</v>
      </c>
      <c r="J1051">
        <f t="shared" si="100"/>
        <v>0.13060955052726336</v>
      </c>
      <c r="K1051">
        <f t="shared" si="101"/>
        <v>1.1905906620067401</v>
      </c>
    </row>
    <row r="1052" spans="1:11" x14ac:dyDescent="0.35">
      <c r="A1052" s="5" t="s">
        <v>8</v>
      </c>
      <c r="B1052" s="5">
        <v>1049</v>
      </c>
      <c r="C1052" s="5">
        <v>27</v>
      </c>
      <c r="D1052" s="16">
        <v>53.1</v>
      </c>
      <c r="E1052" s="1">
        <f t="shared" si="96"/>
        <v>-0.1388888888888889</v>
      </c>
      <c r="F1052">
        <f t="shared" si="97"/>
        <v>30.503757416666662</v>
      </c>
      <c r="G1052">
        <f t="shared" si="98"/>
        <v>494.2179811800961</v>
      </c>
      <c r="I1052">
        <f t="shared" si="99"/>
        <v>5.5555555555555556E-4</v>
      </c>
      <c r="J1052">
        <f t="shared" si="100"/>
        <v>4.2366329745370364E-2</v>
      </c>
      <c r="K1052">
        <f t="shared" si="101"/>
        <v>1.1861231548322306</v>
      </c>
    </row>
    <row r="1053" spans="1:11" x14ac:dyDescent="0.35">
      <c r="A1053" s="5" t="s">
        <v>8</v>
      </c>
      <c r="B1053" s="5">
        <v>1050</v>
      </c>
      <c r="C1053" s="5">
        <v>28</v>
      </c>
      <c r="D1053" s="16">
        <v>52.3</v>
      </c>
      <c r="E1053" s="1">
        <f t="shared" si="96"/>
        <v>-0.33333333333333315</v>
      </c>
      <c r="F1053">
        <f t="shared" si="97"/>
        <v>0</v>
      </c>
      <c r="G1053">
        <f t="shared" si="98"/>
        <v>486.77213588924718</v>
      </c>
      <c r="I1053">
        <f t="shared" si="99"/>
        <v>5.5555555555555556E-4</v>
      </c>
      <c r="J1053">
        <f t="shared" si="100"/>
        <v>0</v>
      </c>
      <c r="K1053">
        <f t="shared" si="101"/>
        <v>1.1682531261341933</v>
      </c>
    </row>
    <row r="1054" spans="1:11" x14ac:dyDescent="0.35">
      <c r="A1054" s="5" t="s">
        <v>8</v>
      </c>
      <c r="B1054" s="5">
        <v>1051</v>
      </c>
      <c r="C1054" s="5">
        <v>29</v>
      </c>
      <c r="D1054" s="16">
        <v>50.7</v>
      </c>
      <c r="E1054" s="1">
        <f t="shared" si="96"/>
        <v>-0.4861111111111111</v>
      </c>
      <c r="F1054">
        <f t="shared" si="97"/>
        <v>0</v>
      </c>
      <c r="G1054">
        <f t="shared" si="98"/>
        <v>471.88044530754939</v>
      </c>
      <c r="I1054">
        <f t="shared" si="99"/>
        <v>5.5555555555555556E-4</v>
      </c>
      <c r="J1054">
        <f t="shared" si="100"/>
        <v>0</v>
      </c>
      <c r="K1054">
        <f t="shared" si="101"/>
        <v>1.1325130687381184</v>
      </c>
    </row>
    <row r="1055" spans="1:11" x14ac:dyDescent="0.35">
      <c r="A1055" s="5" t="s">
        <v>8</v>
      </c>
      <c r="B1055" s="5">
        <v>1052</v>
      </c>
      <c r="C1055" s="5">
        <v>30</v>
      </c>
      <c r="D1055" s="16">
        <v>48.8</v>
      </c>
      <c r="E1055" s="1">
        <f t="shared" si="96"/>
        <v>-0.5833333333333337</v>
      </c>
      <c r="F1055">
        <f t="shared" si="97"/>
        <v>0</v>
      </c>
      <c r="G1055">
        <f t="shared" si="98"/>
        <v>454.19656274178323</v>
      </c>
      <c r="I1055">
        <f t="shared" si="99"/>
        <v>5.5555555555555556E-4</v>
      </c>
      <c r="J1055">
        <f t="shared" si="100"/>
        <v>0</v>
      </c>
      <c r="K1055">
        <f t="shared" si="101"/>
        <v>1.0900717505802797</v>
      </c>
    </row>
    <row r="1056" spans="1:11" x14ac:dyDescent="0.35">
      <c r="A1056" s="5" t="s">
        <v>8</v>
      </c>
      <c r="B1056" s="5">
        <v>1053</v>
      </c>
      <c r="C1056" s="5">
        <v>31</v>
      </c>
      <c r="D1056" s="16">
        <v>46.5</v>
      </c>
      <c r="E1056" s="1">
        <f t="shared" si="96"/>
        <v>-0.69444444444444442</v>
      </c>
      <c r="F1056">
        <f t="shared" si="97"/>
        <v>0</v>
      </c>
      <c r="G1056">
        <f t="shared" si="98"/>
        <v>432.78975753059262</v>
      </c>
      <c r="I1056">
        <f t="shared" si="99"/>
        <v>5.5555555555555556E-4</v>
      </c>
      <c r="J1056">
        <f t="shared" si="100"/>
        <v>0</v>
      </c>
      <c r="K1056">
        <f t="shared" si="101"/>
        <v>1.0386954180734225</v>
      </c>
    </row>
    <row r="1057" spans="1:11" x14ac:dyDescent="0.35">
      <c r="A1057" s="5" t="s">
        <v>8</v>
      </c>
      <c r="B1057" s="5">
        <v>1054</v>
      </c>
      <c r="C1057" s="5">
        <v>32</v>
      </c>
      <c r="D1057" s="16">
        <v>43.8</v>
      </c>
      <c r="E1057" s="1">
        <f t="shared" si="96"/>
        <v>-0.86111111111111149</v>
      </c>
      <c r="F1057">
        <f t="shared" si="97"/>
        <v>0</v>
      </c>
      <c r="G1057">
        <f t="shared" si="98"/>
        <v>407.66002967397759</v>
      </c>
      <c r="I1057">
        <f t="shared" si="99"/>
        <v>5.5555555555555556E-4</v>
      </c>
      <c r="J1057">
        <f t="shared" si="100"/>
        <v>0</v>
      </c>
      <c r="K1057">
        <f t="shared" si="101"/>
        <v>0.97838407121754623</v>
      </c>
    </row>
    <row r="1058" spans="1:11" x14ac:dyDescent="0.35">
      <c r="A1058" s="5" t="s">
        <v>8</v>
      </c>
      <c r="B1058" s="5">
        <v>1055</v>
      </c>
      <c r="C1058" s="5">
        <v>33</v>
      </c>
      <c r="D1058" s="16">
        <v>40.299999999999997</v>
      </c>
      <c r="E1058" s="1">
        <f t="shared" si="96"/>
        <v>-1.0833333333333328</v>
      </c>
      <c r="F1058">
        <f t="shared" si="97"/>
        <v>0</v>
      </c>
      <c r="G1058">
        <f t="shared" si="98"/>
        <v>375.08445652651363</v>
      </c>
      <c r="I1058">
        <f t="shared" si="99"/>
        <v>5.5555555555555556E-4</v>
      </c>
      <c r="J1058">
        <f t="shared" si="100"/>
        <v>0</v>
      </c>
      <c r="K1058">
        <f t="shared" si="101"/>
        <v>0.90020269566363276</v>
      </c>
    </row>
    <row r="1059" spans="1:11" x14ac:dyDescent="0.35">
      <c r="A1059" s="5" t="s">
        <v>8</v>
      </c>
      <c r="B1059" s="5">
        <v>1056</v>
      </c>
      <c r="C1059" s="5">
        <v>34</v>
      </c>
      <c r="D1059" s="16">
        <v>36</v>
      </c>
      <c r="E1059" s="1">
        <f t="shared" si="96"/>
        <v>-1.333333333333333</v>
      </c>
      <c r="F1059">
        <f t="shared" si="97"/>
        <v>0</v>
      </c>
      <c r="G1059">
        <f t="shared" si="98"/>
        <v>335.06303808820076</v>
      </c>
      <c r="I1059">
        <f t="shared" si="99"/>
        <v>5.5555555555555556E-4</v>
      </c>
      <c r="J1059">
        <f t="shared" si="100"/>
        <v>0</v>
      </c>
      <c r="K1059">
        <f t="shared" si="101"/>
        <v>0.80415129141168185</v>
      </c>
    </row>
    <row r="1060" spans="1:11" x14ac:dyDescent="0.35">
      <c r="A1060" s="5" t="s">
        <v>8</v>
      </c>
      <c r="B1060" s="5">
        <v>1057</v>
      </c>
      <c r="C1060" s="5">
        <v>35</v>
      </c>
      <c r="D1060" s="16">
        <v>30.7</v>
      </c>
      <c r="E1060" s="1">
        <f t="shared" si="96"/>
        <v>-1.4722222222222223</v>
      </c>
      <c r="F1060">
        <f t="shared" si="97"/>
        <v>0</v>
      </c>
      <c r="G1060">
        <f t="shared" si="98"/>
        <v>285.73431303632674</v>
      </c>
      <c r="I1060">
        <f t="shared" si="99"/>
        <v>5.5555555555555556E-4</v>
      </c>
      <c r="J1060">
        <f t="shared" si="100"/>
        <v>0</v>
      </c>
      <c r="K1060">
        <f t="shared" si="101"/>
        <v>0.68576235128718421</v>
      </c>
    </row>
    <row r="1061" spans="1:11" x14ac:dyDescent="0.35">
      <c r="A1061" s="5" t="s">
        <v>8</v>
      </c>
      <c r="B1061" s="5">
        <v>1058</v>
      </c>
      <c r="C1061" s="5">
        <v>36</v>
      </c>
      <c r="D1061" s="16">
        <v>25.4</v>
      </c>
      <c r="E1061" s="1">
        <f t="shared" si="96"/>
        <v>-1.3472222222222221</v>
      </c>
      <c r="F1061">
        <f t="shared" si="97"/>
        <v>0</v>
      </c>
      <c r="G1061">
        <f t="shared" si="98"/>
        <v>236.40558798445275</v>
      </c>
      <c r="I1061">
        <f t="shared" si="99"/>
        <v>5.5555555555555556E-4</v>
      </c>
      <c r="J1061">
        <f t="shared" si="100"/>
        <v>0</v>
      </c>
      <c r="K1061">
        <f t="shared" si="101"/>
        <v>0.56737341116268658</v>
      </c>
    </row>
    <row r="1062" spans="1:11" x14ac:dyDescent="0.35">
      <c r="A1062" s="5" t="s">
        <v>8</v>
      </c>
      <c r="B1062" s="5">
        <v>1059</v>
      </c>
      <c r="C1062" s="5">
        <v>37</v>
      </c>
      <c r="D1062" s="16">
        <v>21</v>
      </c>
      <c r="E1062" s="1">
        <f t="shared" si="96"/>
        <v>-1.2083333333333333</v>
      </c>
      <c r="F1062">
        <f t="shared" si="97"/>
        <v>0</v>
      </c>
      <c r="G1062">
        <f t="shared" si="98"/>
        <v>195.45343888478376</v>
      </c>
      <c r="I1062">
        <f t="shared" si="99"/>
        <v>5.5555555555555556E-4</v>
      </c>
      <c r="J1062">
        <f t="shared" si="100"/>
        <v>0</v>
      </c>
      <c r="K1062">
        <f t="shared" si="101"/>
        <v>0.46908825332348103</v>
      </c>
    </row>
    <row r="1063" spans="1:11" x14ac:dyDescent="0.35">
      <c r="A1063" s="5" t="s">
        <v>8</v>
      </c>
      <c r="B1063" s="5">
        <v>1060</v>
      </c>
      <c r="C1063" s="5">
        <v>38</v>
      </c>
      <c r="D1063" s="16">
        <v>16.7</v>
      </c>
      <c r="E1063" s="1">
        <f t="shared" si="96"/>
        <v>-1.0555555555555556</v>
      </c>
      <c r="F1063">
        <f t="shared" si="97"/>
        <v>0</v>
      </c>
      <c r="G1063">
        <f t="shared" si="98"/>
        <v>155.43202044647089</v>
      </c>
      <c r="I1063">
        <f t="shared" si="99"/>
        <v>5.5555555555555556E-4</v>
      </c>
      <c r="J1063">
        <f t="shared" si="100"/>
        <v>0</v>
      </c>
      <c r="K1063">
        <f t="shared" si="101"/>
        <v>0.37303684907153017</v>
      </c>
    </row>
    <row r="1064" spans="1:11" x14ac:dyDescent="0.35">
      <c r="A1064" s="5" t="s">
        <v>8</v>
      </c>
      <c r="B1064" s="5">
        <v>1061</v>
      </c>
      <c r="C1064" s="5">
        <v>39</v>
      </c>
      <c r="D1064" s="16">
        <v>13.4</v>
      </c>
      <c r="E1064" s="1">
        <f t="shared" si="96"/>
        <v>-0.65277777777777768</v>
      </c>
      <c r="F1064">
        <f t="shared" si="97"/>
        <v>0</v>
      </c>
      <c r="G1064">
        <f t="shared" si="98"/>
        <v>124.71790862171916</v>
      </c>
      <c r="I1064">
        <f t="shared" si="99"/>
        <v>5.5555555555555556E-4</v>
      </c>
      <c r="J1064">
        <f t="shared" si="100"/>
        <v>0</v>
      </c>
      <c r="K1064">
        <f t="shared" si="101"/>
        <v>0.29932298069212598</v>
      </c>
    </row>
    <row r="1065" spans="1:11" x14ac:dyDescent="0.35">
      <c r="A1065" s="5" t="s">
        <v>8</v>
      </c>
      <c r="B1065" s="5">
        <v>1062</v>
      </c>
      <c r="C1065" s="5">
        <v>40</v>
      </c>
      <c r="D1065" s="16">
        <v>12</v>
      </c>
      <c r="E1065" s="1">
        <f t="shared" si="96"/>
        <v>-0.18055555555555566</v>
      </c>
      <c r="F1065">
        <f t="shared" si="97"/>
        <v>0</v>
      </c>
      <c r="G1065">
        <f t="shared" si="98"/>
        <v>111.68767936273358</v>
      </c>
      <c r="I1065">
        <f t="shared" si="99"/>
        <v>5.5555555555555556E-4</v>
      </c>
      <c r="J1065">
        <f t="shared" si="100"/>
        <v>0</v>
      </c>
      <c r="K1065">
        <f t="shared" si="101"/>
        <v>0.2680504304705606</v>
      </c>
    </row>
    <row r="1066" spans="1:11" x14ac:dyDescent="0.35">
      <c r="A1066" s="5" t="s">
        <v>8</v>
      </c>
      <c r="B1066" s="5">
        <v>1063</v>
      </c>
      <c r="C1066" s="5">
        <v>41</v>
      </c>
      <c r="D1066" s="16">
        <v>12.1</v>
      </c>
      <c r="E1066" s="1">
        <f t="shared" si="96"/>
        <v>0.1111111111111112</v>
      </c>
      <c r="F1066">
        <f t="shared" si="97"/>
        <v>119.15538593518521</v>
      </c>
      <c r="G1066">
        <f t="shared" si="98"/>
        <v>112.6184100240897</v>
      </c>
      <c r="I1066">
        <f t="shared" si="99"/>
        <v>5.5555555555555556E-4</v>
      </c>
      <c r="J1066">
        <f t="shared" si="100"/>
        <v>0.16549359157664612</v>
      </c>
      <c r="K1066">
        <f t="shared" si="101"/>
        <v>0.27028418405781529</v>
      </c>
    </row>
    <row r="1067" spans="1:11" x14ac:dyDescent="0.35">
      <c r="A1067" s="5" t="s">
        <v>8</v>
      </c>
      <c r="B1067" s="5">
        <v>1064</v>
      </c>
      <c r="C1067" s="5">
        <v>42</v>
      </c>
      <c r="D1067" s="16">
        <v>12.8</v>
      </c>
      <c r="E1067" s="1">
        <f t="shared" si="96"/>
        <v>0.4861111111111111</v>
      </c>
      <c r="F1067">
        <f t="shared" si="97"/>
        <v>290.32066429629623</v>
      </c>
      <c r="G1067">
        <f t="shared" si="98"/>
        <v>119.13352465358248</v>
      </c>
      <c r="I1067">
        <f t="shared" si="99"/>
        <v>5.5555555555555556E-4</v>
      </c>
      <c r="J1067">
        <f t="shared" si="100"/>
        <v>0.403223144855967</v>
      </c>
      <c r="K1067">
        <f t="shared" si="101"/>
        <v>0.28592045916859798</v>
      </c>
    </row>
    <row r="1068" spans="1:11" x14ac:dyDescent="0.35">
      <c r="A1068" s="5" t="s">
        <v>8</v>
      </c>
      <c r="B1068" s="5">
        <v>1065</v>
      </c>
      <c r="C1068" s="5">
        <v>43</v>
      </c>
      <c r="D1068" s="16">
        <v>15.6</v>
      </c>
      <c r="E1068" s="1">
        <f t="shared" si="96"/>
        <v>0.98611111111111083</v>
      </c>
      <c r="F1068">
        <f t="shared" si="97"/>
        <v>519.07470533333321</v>
      </c>
      <c r="G1068">
        <f t="shared" si="98"/>
        <v>145.19398317155364</v>
      </c>
      <c r="I1068">
        <f t="shared" si="99"/>
        <v>5.5555555555555556E-4</v>
      </c>
      <c r="J1068">
        <f t="shared" si="100"/>
        <v>0.72093709074074053</v>
      </c>
      <c r="K1068">
        <f t="shared" si="101"/>
        <v>0.34846555961172876</v>
      </c>
    </row>
    <row r="1069" spans="1:11" x14ac:dyDescent="0.35">
      <c r="A1069" s="5" t="s">
        <v>8</v>
      </c>
      <c r="B1069" s="5">
        <v>1066</v>
      </c>
      <c r="C1069" s="5">
        <v>44</v>
      </c>
      <c r="D1069" s="16">
        <v>19.899999999999999</v>
      </c>
      <c r="E1069" s="1">
        <f t="shared" si="96"/>
        <v>1.0833333333333333</v>
      </c>
      <c r="F1069">
        <f t="shared" si="97"/>
        <v>564.85552815740732</v>
      </c>
      <c r="G1069">
        <f t="shared" si="98"/>
        <v>185.21540160986652</v>
      </c>
      <c r="I1069">
        <f t="shared" si="99"/>
        <v>5.5555555555555556E-4</v>
      </c>
      <c r="J1069">
        <f t="shared" si="100"/>
        <v>0.78452156688528796</v>
      </c>
      <c r="K1069">
        <f t="shared" si="101"/>
        <v>0.44451696386367961</v>
      </c>
    </row>
    <row r="1070" spans="1:11" x14ac:dyDescent="0.35">
      <c r="A1070" s="5" t="s">
        <v>8</v>
      </c>
      <c r="B1070" s="5">
        <v>1067</v>
      </c>
      <c r="C1070" s="5">
        <v>45</v>
      </c>
      <c r="D1070" s="16">
        <v>23.4</v>
      </c>
      <c r="E1070" s="1">
        <f t="shared" si="96"/>
        <v>0.65277777777777812</v>
      </c>
      <c r="F1070">
        <f t="shared" si="97"/>
        <v>369.95925366666683</v>
      </c>
      <c r="G1070">
        <f t="shared" si="98"/>
        <v>217.79097475733047</v>
      </c>
      <c r="I1070">
        <f t="shared" si="99"/>
        <v>5.5555555555555556E-4</v>
      </c>
      <c r="J1070">
        <f t="shared" si="100"/>
        <v>0.51383229675925945</v>
      </c>
      <c r="K1070">
        <f t="shared" si="101"/>
        <v>0.52269833941759314</v>
      </c>
    </row>
    <row r="1071" spans="1:11" x14ac:dyDescent="0.35">
      <c r="A1071" s="5" t="s">
        <v>8</v>
      </c>
      <c r="B1071" s="5">
        <v>1068</v>
      </c>
      <c r="C1071" s="5">
        <v>46</v>
      </c>
      <c r="D1071" s="16">
        <v>24.6</v>
      </c>
      <c r="E1071" s="1">
        <f t="shared" si="96"/>
        <v>0.25000000000000011</v>
      </c>
      <c r="F1071">
        <f t="shared" si="97"/>
        <v>186.8387736666667</v>
      </c>
      <c r="G1071">
        <f t="shared" si="98"/>
        <v>228.95974269360383</v>
      </c>
      <c r="I1071">
        <f t="shared" si="99"/>
        <v>5.5555555555555556E-4</v>
      </c>
      <c r="J1071">
        <f t="shared" si="100"/>
        <v>0.25949829675925928</v>
      </c>
      <c r="K1071">
        <f t="shared" si="101"/>
        <v>0.54950338246464925</v>
      </c>
    </row>
    <row r="1072" spans="1:11" x14ac:dyDescent="0.35">
      <c r="A1072" s="5" t="s">
        <v>8</v>
      </c>
      <c r="B1072" s="5">
        <v>1069</v>
      </c>
      <c r="C1072" s="5">
        <v>47</v>
      </c>
      <c r="D1072" s="16">
        <v>25.2</v>
      </c>
      <c r="E1072" s="1">
        <f t="shared" si="96"/>
        <v>0.24999999999999961</v>
      </c>
      <c r="F1072">
        <f t="shared" si="97"/>
        <v>187.1221079999998</v>
      </c>
      <c r="G1072">
        <f t="shared" si="98"/>
        <v>234.54412666174051</v>
      </c>
      <c r="I1072">
        <f t="shared" si="99"/>
        <v>5.5555555555555556E-4</v>
      </c>
      <c r="J1072">
        <f t="shared" si="100"/>
        <v>0.25989181666666639</v>
      </c>
      <c r="K1072">
        <f t="shared" si="101"/>
        <v>0.56290590398817719</v>
      </c>
    </row>
    <row r="1073" spans="1:11" x14ac:dyDescent="0.35">
      <c r="A1073" s="5" t="s">
        <v>8</v>
      </c>
      <c r="B1073" s="5">
        <v>1070</v>
      </c>
      <c r="C1073" s="5">
        <v>48</v>
      </c>
      <c r="D1073" s="16">
        <v>26.4</v>
      </c>
      <c r="E1073" s="1">
        <f t="shared" si="96"/>
        <v>0.50000000000000022</v>
      </c>
      <c r="F1073">
        <f t="shared" si="97"/>
        <v>301.70925866666676</v>
      </c>
      <c r="G1073">
        <f t="shared" si="98"/>
        <v>245.71289459801389</v>
      </c>
      <c r="I1073">
        <f t="shared" si="99"/>
        <v>5.5555555555555556E-4</v>
      </c>
      <c r="J1073">
        <f t="shared" si="100"/>
        <v>0.41904063703703714</v>
      </c>
      <c r="K1073">
        <f t="shared" si="101"/>
        <v>0.5897109470352333</v>
      </c>
    </row>
    <row r="1074" spans="1:11" x14ac:dyDescent="0.35">
      <c r="A1074" s="5" t="s">
        <v>8</v>
      </c>
      <c r="B1074" s="5">
        <v>1071</v>
      </c>
      <c r="C1074" s="5">
        <v>49</v>
      </c>
      <c r="D1074" s="16">
        <v>28.8</v>
      </c>
      <c r="E1074" s="1">
        <f t="shared" si="96"/>
        <v>0.75000000000000022</v>
      </c>
      <c r="F1074">
        <f t="shared" si="97"/>
        <v>416.96548800000011</v>
      </c>
      <c r="G1074">
        <f t="shared" si="98"/>
        <v>268.05043047056057</v>
      </c>
      <c r="I1074">
        <f t="shared" si="99"/>
        <v>5.5555555555555556E-4</v>
      </c>
      <c r="J1074">
        <f t="shared" si="100"/>
        <v>0.57911873333333352</v>
      </c>
      <c r="K1074">
        <f t="shared" si="101"/>
        <v>0.64332103312934541</v>
      </c>
    </row>
    <row r="1075" spans="1:11" x14ac:dyDescent="0.35">
      <c r="A1075" s="5" t="s">
        <v>8</v>
      </c>
      <c r="B1075" s="5">
        <v>1072</v>
      </c>
      <c r="C1075" s="5">
        <v>50</v>
      </c>
      <c r="D1075" s="16">
        <v>31.8</v>
      </c>
      <c r="E1075" s="1">
        <f t="shared" si="96"/>
        <v>0.90277777777777724</v>
      </c>
      <c r="F1075">
        <f t="shared" si="97"/>
        <v>488.35605633333307</v>
      </c>
      <c r="G1075">
        <f t="shared" si="98"/>
        <v>295.97235031124399</v>
      </c>
      <c r="I1075">
        <f t="shared" si="99"/>
        <v>5.5555555555555556E-4</v>
      </c>
      <c r="J1075">
        <f t="shared" si="100"/>
        <v>0.67827230046296261</v>
      </c>
      <c r="K1075">
        <f t="shared" si="101"/>
        <v>0.71033364074698557</v>
      </c>
    </row>
    <row r="1076" spans="1:11" x14ac:dyDescent="0.35">
      <c r="A1076" s="5" t="s">
        <v>8</v>
      </c>
      <c r="B1076" s="5">
        <v>1073</v>
      </c>
      <c r="C1076" s="5">
        <v>51</v>
      </c>
      <c r="D1076" s="16">
        <v>35.299999999999997</v>
      </c>
      <c r="E1076" s="1">
        <f t="shared" si="96"/>
        <v>1.0694444444444444</v>
      </c>
      <c r="F1076">
        <f t="shared" si="97"/>
        <v>566.58299971296287</v>
      </c>
      <c r="G1076">
        <f t="shared" si="98"/>
        <v>328.54792345870794</v>
      </c>
      <c r="I1076">
        <f t="shared" si="99"/>
        <v>5.5555555555555556E-4</v>
      </c>
      <c r="J1076">
        <f t="shared" si="100"/>
        <v>0.78692083293467063</v>
      </c>
      <c r="K1076">
        <f t="shared" si="101"/>
        <v>0.78851501630089904</v>
      </c>
    </row>
    <row r="1077" spans="1:11" x14ac:dyDescent="0.35">
      <c r="A1077" s="5" t="s">
        <v>8</v>
      </c>
      <c r="B1077" s="5">
        <v>1074</v>
      </c>
      <c r="C1077" s="5">
        <v>52</v>
      </c>
      <c r="D1077" s="16">
        <v>39.5</v>
      </c>
      <c r="E1077" s="1">
        <f t="shared" si="96"/>
        <v>1.2777777777777781</v>
      </c>
      <c r="F1077">
        <f t="shared" si="97"/>
        <v>664.56199282407408</v>
      </c>
      <c r="G1077">
        <f t="shared" si="98"/>
        <v>367.63861123566471</v>
      </c>
      <c r="I1077">
        <f t="shared" si="99"/>
        <v>5.5555555555555556E-4</v>
      </c>
      <c r="J1077">
        <f t="shared" si="100"/>
        <v>0.92300276781121404</v>
      </c>
      <c r="K1077">
        <f t="shared" si="101"/>
        <v>0.88233266696559531</v>
      </c>
    </row>
    <row r="1078" spans="1:11" x14ac:dyDescent="0.35">
      <c r="A1078" s="5" t="s">
        <v>8</v>
      </c>
      <c r="B1078" s="5">
        <v>1075</v>
      </c>
      <c r="C1078" s="5">
        <v>53</v>
      </c>
      <c r="D1078" s="16">
        <v>44.5</v>
      </c>
      <c r="E1078" s="1">
        <f t="shared" si="96"/>
        <v>1.3611111111111107</v>
      </c>
      <c r="F1078">
        <f t="shared" si="97"/>
        <v>706.54460393518502</v>
      </c>
      <c r="G1078">
        <f t="shared" si="98"/>
        <v>414.17514430347035</v>
      </c>
      <c r="I1078">
        <f t="shared" si="99"/>
        <v>5.5555555555555556E-4</v>
      </c>
      <c r="J1078">
        <f t="shared" si="100"/>
        <v>0.98131194990997916</v>
      </c>
      <c r="K1078">
        <f t="shared" si="101"/>
        <v>0.99402034632832892</v>
      </c>
    </row>
    <row r="1079" spans="1:11" x14ac:dyDescent="0.35">
      <c r="A1079" s="5" t="s">
        <v>8</v>
      </c>
      <c r="B1079" s="5">
        <v>1076</v>
      </c>
      <c r="C1079" s="5">
        <v>54</v>
      </c>
      <c r="D1079" s="16">
        <v>49.3</v>
      </c>
      <c r="E1079" s="1">
        <f t="shared" si="96"/>
        <v>1.2222222222222219</v>
      </c>
      <c r="F1079">
        <f t="shared" si="97"/>
        <v>647.48062971296258</v>
      </c>
      <c r="G1079">
        <f t="shared" si="98"/>
        <v>458.85021604856377</v>
      </c>
      <c r="I1079">
        <f t="shared" si="99"/>
        <v>5.5555555555555556E-4</v>
      </c>
      <c r="J1079">
        <f t="shared" si="100"/>
        <v>0.89927865237911475</v>
      </c>
      <c r="K1079">
        <f t="shared" si="101"/>
        <v>1.101240518516553</v>
      </c>
    </row>
    <row r="1080" spans="1:11" x14ac:dyDescent="0.35">
      <c r="A1080" s="5" t="s">
        <v>8</v>
      </c>
      <c r="B1080" s="5">
        <v>1077</v>
      </c>
      <c r="C1080" s="5">
        <v>55</v>
      </c>
      <c r="D1080" s="16">
        <v>53.3</v>
      </c>
      <c r="E1080" s="1">
        <f t="shared" si="96"/>
        <v>0.98611111111111127</v>
      </c>
      <c r="F1080">
        <f t="shared" si="97"/>
        <v>543.70554304629627</v>
      </c>
      <c r="G1080">
        <f t="shared" si="98"/>
        <v>496.07944250280832</v>
      </c>
      <c r="I1080">
        <f t="shared" si="99"/>
        <v>5.5555555555555556E-4</v>
      </c>
      <c r="J1080">
        <f t="shared" si="100"/>
        <v>0.75514658756430042</v>
      </c>
      <c r="K1080">
        <f t="shared" si="101"/>
        <v>1.1905906620067401</v>
      </c>
    </row>
    <row r="1081" spans="1:11" x14ac:dyDescent="0.35">
      <c r="A1081" s="5" t="s">
        <v>8</v>
      </c>
      <c r="B1081" s="5">
        <v>1078</v>
      </c>
      <c r="C1081" s="5">
        <v>56</v>
      </c>
      <c r="D1081" s="16">
        <v>56.4</v>
      </c>
      <c r="E1081" s="1">
        <f t="shared" si="96"/>
        <v>0.7777777777777779</v>
      </c>
      <c r="F1081">
        <f t="shared" si="97"/>
        <v>451.93022533333334</v>
      </c>
      <c r="G1081">
        <f t="shared" si="98"/>
        <v>524.93209300484784</v>
      </c>
      <c r="I1081">
        <f t="shared" si="99"/>
        <v>5.5555555555555556E-4</v>
      </c>
      <c r="J1081">
        <f t="shared" si="100"/>
        <v>0.62768086851851856</v>
      </c>
      <c r="K1081">
        <f t="shared" si="101"/>
        <v>1.2598370232116349</v>
      </c>
    </row>
    <row r="1082" spans="1:11" x14ac:dyDescent="0.35">
      <c r="A1082" s="5" t="s">
        <v>8</v>
      </c>
      <c r="B1082" s="5">
        <v>1079</v>
      </c>
      <c r="C1082" s="5">
        <v>57</v>
      </c>
      <c r="D1082" s="16">
        <v>58.9</v>
      </c>
      <c r="E1082" s="1">
        <f t="shared" si="96"/>
        <v>0.6666666666666673</v>
      </c>
      <c r="F1082">
        <f t="shared" si="97"/>
        <v>403.99686260185211</v>
      </c>
      <c r="G1082">
        <f t="shared" si="98"/>
        <v>548.2003595387506</v>
      </c>
      <c r="I1082">
        <f t="shared" si="99"/>
        <v>5.5555555555555556E-4</v>
      </c>
      <c r="J1082">
        <f t="shared" si="100"/>
        <v>0.56110675361368345</v>
      </c>
      <c r="K1082">
        <f t="shared" si="101"/>
        <v>1.3156808628930015</v>
      </c>
    </row>
    <row r="1083" spans="1:11" x14ac:dyDescent="0.35">
      <c r="A1083" s="5" t="s">
        <v>8</v>
      </c>
      <c r="B1083" s="5">
        <v>1080</v>
      </c>
      <c r="C1083" s="5">
        <v>58</v>
      </c>
      <c r="D1083" s="16">
        <v>61.2</v>
      </c>
      <c r="E1083" s="1">
        <f t="shared" si="96"/>
        <v>0.51388888888888928</v>
      </c>
      <c r="F1083">
        <f t="shared" si="97"/>
        <v>336.94952133333351</v>
      </c>
      <c r="G1083">
        <f t="shared" si="98"/>
        <v>569.60716474994126</v>
      </c>
      <c r="I1083">
        <f t="shared" si="99"/>
        <v>5.5555555555555556E-4</v>
      </c>
      <c r="J1083">
        <f t="shared" si="100"/>
        <v>0.46798544629629651</v>
      </c>
      <c r="K1083">
        <f t="shared" si="101"/>
        <v>1.3670571953998591</v>
      </c>
    </row>
    <row r="1084" spans="1:11" x14ac:dyDescent="0.35">
      <c r="A1084" s="5" t="s">
        <v>8</v>
      </c>
      <c r="B1084" s="5">
        <v>1081</v>
      </c>
      <c r="C1084" s="5">
        <v>59</v>
      </c>
      <c r="D1084" s="16">
        <v>62.6</v>
      </c>
      <c r="E1084" s="1">
        <f t="shared" si="96"/>
        <v>0.24999999999999961</v>
      </c>
      <c r="F1084">
        <f t="shared" si="97"/>
        <v>218.25967885185167</v>
      </c>
      <c r="G1084">
        <f t="shared" si="98"/>
        <v>582.63739400892689</v>
      </c>
      <c r="I1084">
        <f t="shared" si="99"/>
        <v>5.5555555555555556E-4</v>
      </c>
      <c r="J1084">
        <f t="shared" si="100"/>
        <v>0.30313844284979397</v>
      </c>
      <c r="K1084">
        <f t="shared" si="101"/>
        <v>1.3983297456214248</v>
      </c>
    </row>
    <row r="1085" spans="1:11" x14ac:dyDescent="0.35">
      <c r="A1085" s="5" t="s">
        <v>8</v>
      </c>
      <c r="B1085" s="5">
        <v>1082</v>
      </c>
      <c r="C1085" s="5">
        <v>60</v>
      </c>
      <c r="D1085" s="16">
        <v>63</v>
      </c>
      <c r="E1085" s="1">
        <f t="shared" si="96"/>
        <v>-1.3888888888889086E-2</v>
      </c>
      <c r="F1085">
        <f t="shared" si="97"/>
        <v>98.402741666666572</v>
      </c>
      <c r="G1085">
        <f t="shared" si="98"/>
        <v>586.36031665435132</v>
      </c>
      <c r="I1085">
        <f t="shared" si="99"/>
        <v>5.5555555555555556E-4</v>
      </c>
      <c r="J1085">
        <f t="shared" si="100"/>
        <v>0.1366704745370369</v>
      </c>
      <c r="K1085">
        <f t="shared" si="101"/>
        <v>1.4072647599704433</v>
      </c>
    </row>
    <row r="1086" spans="1:11" x14ac:dyDescent="0.35">
      <c r="A1086" s="5" t="s">
        <v>8</v>
      </c>
      <c r="B1086" s="5">
        <v>1083</v>
      </c>
      <c r="C1086" s="5">
        <v>61</v>
      </c>
      <c r="D1086" s="16">
        <v>62.5</v>
      </c>
      <c r="E1086" s="1">
        <f t="shared" si="96"/>
        <v>-0.29166666666666685</v>
      </c>
      <c r="F1086">
        <f t="shared" si="97"/>
        <v>0</v>
      </c>
      <c r="G1086">
        <f t="shared" si="98"/>
        <v>581.70666334757072</v>
      </c>
      <c r="I1086">
        <f t="shared" si="99"/>
        <v>5.5555555555555556E-4</v>
      </c>
      <c r="J1086">
        <f t="shared" si="100"/>
        <v>0</v>
      </c>
      <c r="K1086">
        <f t="shared" si="101"/>
        <v>1.3960959920341698</v>
      </c>
    </row>
    <row r="1087" spans="1:11" x14ac:dyDescent="0.35">
      <c r="A1087" s="5" t="s">
        <v>8</v>
      </c>
      <c r="B1087" s="5">
        <v>1084</v>
      </c>
      <c r="C1087" s="5">
        <v>62</v>
      </c>
      <c r="D1087" s="16">
        <v>60.9</v>
      </c>
      <c r="E1087" s="1">
        <f t="shared" si="96"/>
        <v>-0.44444444444444481</v>
      </c>
      <c r="F1087">
        <f t="shared" si="97"/>
        <v>0</v>
      </c>
      <c r="G1087">
        <f t="shared" si="98"/>
        <v>566.81497276587288</v>
      </c>
      <c r="I1087">
        <f t="shared" si="99"/>
        <v>5.5555555555555556E-4</v>
      </c>
      <c r="J1087">
        <f t="shared" si="100"/>
        <v>0</v>
      </c>
      <c r="K1087">
        <f t="shared" si="101"/>
        <v>1.3603559346380949</v>
      </c>
    </row>
    <row r="1088" spans="1:11" x14ac:dyDescent="0.35">
      <c r="A1088" s="5" t="s">
        <v>8</v>
      </c>
      <c r="B1088" s="5">
        <v>1085</v>
      </c>
      <c r="C1088" s="5">
        <v>63</v>
      </c>
      <c r="D1088" s="16">
        <v>59.3</v>
      </c>
      <c r="E1088" s="1">
        <f t="shared" si="96"/>
        <v>-0.31944444444444403</v>
      </c>
      <c r="F1088">
        <f t="shared" si="97"/>
        <v>0</v>
      </c>
      <c r="G1088">
        <f t="shared" si="98"/>
        <v>551.92328218417515</v>
      </c>
      <c r="I1088">
        <f t="shared" si="99"/>
        <v>5.5555555555555556E-4</v>
      </c>
      <c r="J1088">
        <f t="shared" si="100"/>
        <v>0</v>
      </c>
      <c r="K1088">
        <f t="shared" si="101"/>
        <v>1.3246158772420205</v>
      </c>
    </row>
    <row r="1089" spans="1:11" x14ac:dyDescent="0.35">
      <c r="A1089" s="5" t="s">
        <v>8</v>
      </c>
      <c r="B1089" s="5">
        <v>1086</v>
      </c>
      <c r="C1089" s="5">
        <v>64</v>
      </c>
      <c r="D1089" s="16">
        <v>58.6</v>
      </c>
      <c r="E1089" s="1">
        <f t="shared" si="96"/>
        <v>-9.7222222222221627E-2</v>
      </c>
      <c r="F1089">
        <f t="shared" si="97"/>
        <v>55.329274407407674</v>
      </c>
      <c r="G1089">
        <f t="shared" si="98"/>
        <v>545.40816755468234</v>
      </c>
      <c r="I1089">
        <f t="shared" si="99"/>
        <v>5.5555555555555556E-4</v>
      </c>
      <c r="J1089">
        <f t="shared" si="100"/>
        <v>7.6846214454732886E-2</v>
      </c>
      <c r="K1089">
        <f t="shared" si="101"/>
        <v>1.3089796021312377</v>
      </c>
    </row>
    <row r="1090" spans="1:11" x14ac:dyDescent="0.35">
      <c r="A1090" s="5" t="s">
        <v>8</v>
      </c>
      <c r="B1090" s="5">
        <v>1087</v>
      </c>
      <c r="C1090" s="5">
        <v>65</v>
      </c>
      <c r="D1090" s="16">
        <v>58.6</v>
      </c>
      <c r="E1090" s="1">
        <f t="shared" si="96"/>
        <v>1.3888888888889086E-2</v>
      </c>
      <c r="F1090">
        <f t="shared" si="97"/>
        <v>105.99594107407415</v>
      </c>
      <c r="G1090">
        <f t="shared" si="98"/>
        <v>545.40816755468234</v>
      </c>
      <c r="I1090">
        <f t="shared" si="99"/>
        <v>5.5555555555555556E-4</v>
      </c>
      <c r="J1090">
        <f t="shared" si="100"/>
        <v>0.147216584825103</v>
      </c>
      <c r="K1090">
        <f t="shared" si="101"/>
        <v>1.3089796021312377</v>
      </c>
    </row>
    <row r="1091" spans="1:11" x14ac:dyDescent="0.35">
      <c r="A1091" s="5" t="s">
        <v>8</v>
      </c>
      <c r="B1091" s="5">
        <v>1088</v>
      </c>
      <c r="C1091" s="5">
        <v>66</v>
      </c>
      <c r="D1091" s="16">
        <v>58.7</v>
      </c>
      <c r="E1091" s="1">
        <f t="shared" si="96"/>
        <v>2.7777777777777186E-2</v>
      </c>
      <c r="F1091">
        <f t="shared" si="97"/>
        <v>112.44050304629603</v>
      </c>
      <c r="G1091">
        <f t="shared" si="98"/>
        <v>546.33889821603839</v>
      </c>
      <c r="I1091">
        <f t="shared" si="99"/>
        <v>5.5555555555555556E-4</v>
      </c>
      <c r="J1091">
        <f t="shared" si="100"/>
        <v>0.15616736534207781</v>
      </c>
      <c r="K1091">
        <f t="shared" si="101"/>
        <v>1.3112133557184922</v>
      </c>
    </row>
    <row r="1092" spans="1:11" x14ac:dyDescent="0.35">
      <c r="A1092" s="5" t="s">
        <v>8</v>
      </c>
      <c r="B1092" s="5">
        <v>1089</v>
      </c>
      <c r="C1092" s="5">
        <v>67</v>
      </c>
      <c r="D1092" s="16">
        <v>58.8</v>
      </c>
      <c r="E1092" s="1">
        <f t="shared" si="96"/>
        <v>1.3888888888888099E-2</v>
      </c>
      <c r="F1092">
        <f t="shared" si="97"/>
        <v>106.21858799999963</v>
      </c>
      <c r="G1092">
        <f t="shared" si="98"/>
        <v>547.26962887739455</v>
      </c>
      <c r="I1092">
        <f t="shared" si="99"/>
        <v>5.5555555555555556E-4</v>
      </c>
      <c r="J1092">
        <f t="shared" si="100"/>
        <v>0.14752581666666614</v>
      </c>
      <c r="K1092">
        <f t="shared" si="101"/>
        <v>1.3134471093057469</v>
      </c>
    </row>
    <row r="1093" spans="1:11" x14ac:dyDescent="0.35">
      <c r="A1093" s="5" t="s">
        <v>8</v>
      </c>
      <c r="B1093" s="5">
        <v>1090</v>
      </c>
      <c r="C1093" s="5">
        <v>68</v>
      </c>
      <c r="D1093" s="16">
        <v>58.8</v>
      </c>
      <c r="E1093" s="1">
        <f t="shared" ref="E1093:E1156" si="102">($D1094-$D1092)/2/3.6</f>
        <v>0</v>
      </c>
      <c r="F1093">
        <f t="shared" ref="F1093:F1156" si="103">IF(D1093=0,0,MAX(0,0.285*(1600*E1093 + 1600*9.81*0.015 + 0.5*1.225*0.32*2.2*(D1093/3.6)^2)))</f>
        <v>99.885254666666654</v>
      </c>
      <c r="G1093">
        <f t="shared" ref="G1093:G1156" si="104">60*D1093/(2*PI()*3.6*0.285)</f>
        <v>547.26962887739455</v>
      </c>
      <c r="I1093">
        <f t="shared" ref="I1093:I1156" si="105">1/1800</f>
        <v>5.5555555555555556E-4</v>
      </c>
      <c r="J1093">
        <f t="shared" ref="J1093:J1156" si="106">F1093/(M$3*3.6)</f>
        <v>0.13872952037037034</v>
      </c>
      <c r="K1093">
        <f t="shared" ref="K1093:K1156" si="107">G1093*3.6/N$3</f>
        <v>1.3134471093057469</v>
      </c>
    </row>
    <row r="1094" spans="1:11" x14ac:dyDescent="0.35">
      <c r="A1094" s="5" t="s">
        <v>8</v>
      </c>
      <c r="B1094" s="5">
        <v>1091</v>
      </c>
      <c r="C1094" s="5">
        <v>69</v>
      </c>
      <c r="D1094" s="16">
        <v>58.8</v>
      </c>
      <c r="E1094" s="1">
        <f t="shared" si="102"/>
        <v>4.1666666666667261E-2</v>
      </c>
      <c r="F1094">
        <f t="shared" si="103"/>
        <v>118.88525466666692</v>
      </c>
      <c r="G1094">
        <f t="shared" si="104"/>
        <v>547.26962887739455</v>
      </c>
      <c r="I1094">
        <f t="shared" si="105"/>
        <v>5.5555555555555556E-4</v>
      </c>
      <c r="J1094">
        <f t="shared" si="106"/>
        <v>0.16511840925925961</v>
      </c>
      <c r="K1094">
        <f t="shared" si="107"/>
        <v>1.3134471093057469</v>
      </c>
    </row>
    <row r="1095" spans="1:11" x14ac:dyDescent="0.35">
      <c r="A1095" s="5" t="s">
        <v>8</v>
      </c>
      <c r="B1095" s="5">
        <v>1092</v>
      </c>
      <c r="C1095" s="5">
        <v>70</v>
      </c>
      <c r="D1095" s="16">
        <v>59.1</v>
      </c>
      <c r="E1095" s="1">
        <f t="shared" si="102"/>
        <v>0.18055555555555614</v>
      </c>
      <c r="F1095">
        <f t="shared" si="103"/>
        <v>182.55398075000025</v>
      </c>
      <c r="G1095">
        <f t="shared" si="104"/>
        <v>550.06182086146293</v>
      </c>
      <c r="I1095">
        <f t="shared" si="105"/>
        <v>5.5555555555555556E-4</v>
      </c>
      <c r="J1095">
        <f t="shared" si="106"/>
        <v>0.25354719548611143</v>
      </c>
      <c r="K1095">
        <f t="shared" si="107"/>
        <v>1.3201483700675112</v>
      </c>
    </row>
    <row r="1096" spans="1:11" x14ac:dyDescent="0.35">
      <c r="A1096" s="5" t="s">
        <v>8</v>
      </c>
      <c r="B1096" s="5">
        <v>1093</v>
      </c>
      <c r="C1096" s="5">
        <v>71</v>
      </c>
      <c r="D1096" s="16">
        <v>60.1</v>
      </c>
      <c r="E1096" s="1">
        <f t="shared" si="102"/>
        <v>0.36111111111111133</v>
      </c>
      <c r="F1096">
        <f t="shared" si="103"/>
        <v>266.01761704629638</v>
      </c>
      <c r="G1096">
        <f t="shared" si="104"/>
        <v>559.36912747502402</v>
      </c>
      <c r="I1096">
        <f t="shared" si="105"/>
        <v>5.5555555555555556E-4</v>
      </c>
      <c r="J1096">
        <f t="shared" si="106"/>
        <v>0.36946891256430053</v>
      </c>
      <c r="K1096">
        <f t="shared" si="107"/>
        <v>1.3424859059400576</v>
      </c>
    </row>
    <row r="1097" spans="1:11" x14ac:dyDescent="0.35">
      <c r="A1097" s="5" t="s">
        <v>8</v>
      </c>
      <c r="B1097" s="5">
        <v>1094</v>
      </c>
      <c r="C1097" s="5">
        <v>72</v>
      </c>
      <c r="D1097" s="16">
        <v>61.7</v>
      </c>
      <c r="E1097" s="1">
        <f t="shared" si="102"/>
        <v>0.40277777777777757</v>
      </c>
      <c r="F1097">
        <f t="shared" si="103"/>
        <v>286.86554860185174</v>
      </c>
      <c r="G1097">
        <f t="shared" si="104"/>
        <v>574.26081805672186</v>
      </c>
      <c r="I1097">
        <f t="shared" si="105"/>
        <v>5.5555555555555556E-4</v>
      </c>
      <c r="J1097">
        <f t="shared" si="106"/>
        <v>0.39842437305812745</v>
      </c>
      <c r="K1097">
        <f t="shared" si="107"/>
        <v>1.3782259633361325</v>
      </c>
    </row>
    <row r="1098" spans="1:11" x14ac:dyDescent="0.35">
      <c r="A1098" s="5" t="s">
        <v>8</v>
      </c>
      <c r="B1098" s="5">
        <v>1095</v>
      </c>
      <c r="C1098" s="5">
        <v>73</v>
      </c>
      <c r="D1098" s="16">
        <v>63</v>
      </c>
      <c r="E1098" s="1">
        <f t="shared" si="102"/>
        <v>0.27777777777777779</v>
      </c>
      <c r="F1098">
        <f t="shared" si="103"/>
        <v>231.40274166666666</v>
      </c>
      <c r="G1098">
        <f t="shared" si="104"/>
        <v>586.36031665435132</v>
      </c>
      <c r="I1098">
        <f t="shared" si="105"/>
        <v>5.5555555555555556E-4</v>
      </c>
      <c r="J1098">
        <f t="shared" si="106"/>
        <v>0.32139269675925924</v>
      </c>
      <c r="K1098">
        <f t="shared" si="107"/>
        <v>1.4072647599704433</v>
      </c>
    </row>
    <row r="1099" spans="1:11" x14ac:dyDescent="0.35">
      <c r="A1099" s="5" t="s">
        <v>8</v>
      </c>
      <c r="B1099" s="5">
        <v>1096</v>
      </c>
      <c r="C1099" s="5">
        <v>74</v>
      </c>
      <c r="D1099" s="16">
        <v>63.7</v>
      </c>
      <c r="E1099" s="1">
        <f t="shared" si="102"/>
        <v>0.12499999999999981</v>
      </c>
      <c r="F1099">
        <f t="shared" si="103"/>
        <v>162.57706971296287</v>
      </c>
      <c r="G1099">
        <f t="shared" si="104"/>
        <v>592.87543128384414</v>
      </c>
      <c r="I1099">
        <f t="shared" si="105"/>
        <v>5.5555555555555556E-4</v>
      </c>
      <c r="J1099">
        <f t="shared" si="106"/>
        <v>0.22580148571244843</v>
      </c>
      <c r="K1099">
        <f t="shared" si="107"/>
        <v>1.4229010350812259</v>
      </c>
    </row>
    <row r="1100" spans="1:11" x14ac:dyDescent="0.35">
      <c r="A1100" s="5" t="s">
        <v>8</v>
      </c>
      <c r="B1100" s="5">
        <v>1097</v>
      </c>
      <c r="C1100" s="5">
        <v>75</v>
      </c>
      <c r="D1100" s="16">
        <v>63.9</v>
      </c>
      <c r="E1100" s="1">
        <f t="shared" si="102"/>
        <v>-2.7777777777778172E-2</v>
      </c>
      <c r="F1100">
        <f t="shared" si="103"/>
        <v>93.152394083333149</v>
      </c>
      <c r="G1100">
        <f t="shared" si="104"/>
        <v>594.73689260655635</v>
      </c>
      <c r="I1100">
        <f t="shared" si="105"/>
        <v>5.5555555555555556E-4</v>
      </c>
      <c r="J1100">
        <f t="shared" si="106"/>
        <v>0.12937832511574049</v>
      </c>
      <c r="K1100">
        <f t="shared" si="107"/>
        <v>1.4273685422557352</v>
      </c>
    </row>
    <row r="1101" spans="1:11" x14ac:dyDescent="0.35">
      <c r="A1101" s="5" t="s">
        <v>8</v>
      </c>
      <c r="B1101" s="5">
        <v>1098</v>
      </c>
      <c r="C1101" s="5">
        <v>76</v>
      </c>
      <c r="D1101" s="16">
        <v>63.5</v>
      </c>
      <c r="E1101" s="1">
        <f t="shared" si="102"/>
        <v>-0.2222222222222224</v>
      </c>
      <c r="F1101">
        <f t="shared" si="103"/>
        <v>4.0025039351851124</v>
      </c>
      <c r="G1101">
        <f t="shared" si="104"/>
        <v>591.01396996113181</v>
      </c>
      <c r="I1101">
        <f t="shared" si="105"/>
        <v>5.5555555555555556E-4</v>
      </c>
      <c r="J1101">
        <f t="shared" si="106"/>
        <v>5.5590332433126562E-3</v>
      </c>
      <c r="K1101">
        <f t="shared" si="107"/>
        <v>1.4184335279067164</v>
      </c>
    </row>
    <row r="1102" spans="1:11" x14ac:dyDescent="0.35">
      <c r="A1102" s="5" t="s">
        <v>8</v>
      </c>
      <c r="B1102" s="5">
        <v>1099</v>
      </c>
      <c r="C1102" s="5">
        <v>77</v>
      </c>
      <c r="D1102" s="16">
        <v>62.3</v>
      </c>
      <c r="E1102" s="1">
        <f t="shared" si="102"/>
        <v>-0.44444444444444481</v>
      </c>
      <c r="F1102">
        <f t="shared" si="103"/>
        <v>0</v>
      </c>
      <c r="G1102">
        <f t="shared" si="104"/>
        <v>579.84520202485851</v>
      </c>
      <c r="I1102">
        <f t="shared" si="105"/>
        <v>5.5555555555555556E-4</v>
      </c>
      <c r="J1102">
        <f t="shared" si="106"/>
        <v>0</v>
      </c>
      <c r="K1102">
        <f t="shared" si="107"/>
        <v>1.3916284848596605</v>
      </c>
    </row>
    <row r="1103" spans="1:11" x14ac:dyDescent="0.35">
      <c r="A1103" s="5" t="s">
        <v>8</v>
      </c>
      <c r="B1103" s="5">
        <v>1100</v>
      </c>
      <c r="C1103" s="5">
        <v>78</v>
      </c>
      <c r="D1103" s="16">
        <v>60.3</v>
      </c>
      <c r="E1103" s="1">
        <f t="shared" si="102"/>
        <v>-0.47222222222222199</v>
      </c>
      <c r="F1103">
        <f t="shared" si="103"/>
        <v>0</v>
      </c>
      <c r="G1103">
        <f t="shared" si="104"/>
        <v>561.23058879773623</v>
      </c>
      <c r="I1103">
        <f t="shared" si="105"/>
        <v>5.5555555555555556E-4</v>
      </c>
      <c r="J1103">
        <f t="shared" si="106"/>
        <v>0</v>
      </c>
      <c r="K1103">
        <f t="shared" si="107"/>
        <v>1.3469534131145671</v>
      </c>
    </row>
    <row r="1104" spans="1:11" x14ac:dyDescent="0.35">
      <c r="A1104" s="5" t="s">
        <v>8</v>
      </c>
      <c r="B1104" s="5">
        <v>1101</v>
      </c>
      <c r="C1104" s="5">
        <v>79</v>
      </c>
      <c r="D1104" s="16">
        <v>58.9</v>
      </c>
      <c r="E1104" s="1">
        <f t="shared" si="102"/>
        <v>-0.26388888888888867</v>
      </c>
      <c r="F1104">
        <f t="shared" si="103"/>
        <v>0</v>
      </c>
      <c r="G1104">
        <f t="shared" si="104"/>
        <v>548.2003595387506</v>
      </c>
      <c r="I1104">
        <f t="shared" si="105"/>
        <v>5.5555555555555556E-4</v>
      </c>
      <c r="J1104">
        <f t="shared" si="106"/>
        <v>0</v>
      </c>
      <c r="K1104">
        <f t="shared" si="107"/>
        <v>1.3156808628930015</v>
      </c>
    </row>
    <row r="1105" spans="1:11" x14ac:dyDescent="0.35">
      <c r="A1105" s="5" t="s">
        <v>8</v>
      </c>
      <c r="B1105" s="5">
        <v>1102</v>
      </c>
      <c r="C1105" s="5">
        <v>80</v>
      </c>
      <c r="D1105" s="16">
        <v>58.4</v>
      </c>
      <c r="E1105" s="1">
        <f t="shared" si="102"/>
        <v>-1.3888888888889086E-2</v>
      </c>
      <c r="F1105">
        <f t="shared" si="103"/>
        <v>93.107386074073972</v>
      </c>
      <c r="G1105">
        <f t="shared" si="104"/>
        <v>543.54670623197012</v>
      </c>
      <c r="I1105">
        <f t="shared" si="105"/>
        <v>5.5555555555555556E-4</v>
      </c>
      <c r="J1105">
        <f t="shared" si="106"/>
        <v>0.12931581399176942</v>
      </c>
      <c r="K1105">
        <f t="shared" si="107"/>
        <v>1.3045120949567282</v>
      </c>
    </row>
    <row r="1106" spans="1:11" x14ac:dyDescent="0.35">
      <c r="A1106" s="5" t="s">
        <v>8</v>
      </c>
      <c r="B1106" s="5">
        <v>1103</v>
      </c>
      <c r="C1106" s="5">
        <v>81</v>
      </c>
      <c r="D1106" s="16">
        <v>58.8</v>
      </c>
      <c r="E1106" s="1">
        <f t="shared" si="102"/>
        <v>0.25000000000000061</v>
      </c>
      <c r="F1106">
        <f t="shared" si="103"/>
        <v>213.8852546666669</v>
      </c>
      <c r="G1106">
        <f t="shared" si="104"/>
        <v>547.26962887739455</v>
      </c>
      <c r="I1106">
        <f t="shared" si="105"/>
        <v>5.5555555555555556E-4</v>
      </c>
      <c r="J1106">
        <f t="shared" si="106"/>
        <v>0.297062853703704</v>
      </c>
      <c r="K1106">
        <f t="shared" si="107"/>
        <v>1.3134471093057469</v>
      </c>
    </row>
    <row r="1107" spans="1:11" x14ac:dyDescent="0.35">
      <c r="A1107" s="5" t="s">
        <v>8</v>
      </c>
      <c r="B1107" s="5">
        <v>1104</v>
      </c>
      <c r="C1107" s="5">
        <v>82</v>
      </c>
      <c r="D1107" s="16">
        <v>60.2</v>
      </c>
      <c r="E1107" s="1">
        <f t="shared" si="102"/>
        <v>0.4861111111111111</v>
      </c>
      <c r="F1107">
        <f t="shared" si="103"/>
        <v>323.13169040740735</v>
      </c>
      <c r="G1107">
        <f t="shared" si="104"/>
        <v>560.29985813638018</v>
      </c>
      <c r="I1107">
        <f t="shared" si="105"/>
        <v>5.5555555555555556E-4</v>
      </c>
      <c r="J1107">
        <f t="shared" si="106"/>
        <v>0.44879401445473244</v>
      </c>
      <c r="K1107">
        <f t="shared" si="107"/>
        <v>1.3447196595273125</v>
      </c>
    </row>
    <row r="1108" spans="1:11" x14ac:dyDescent="0.35">
      <c r="A1108" s="5" t="s">
        <v>8</v>
      </c>
      <c r="B1108" s="5">
        <v>1105</v>
      </c>
      <c r="C1108" s="5">
        <v>83</v>
      </c>
      <c r="D1108" s="16">
        <v>62.3</v>
      </c>
      <c r="E1108" s="1">
        <f t="shared" si="102"/>
        <v>0.51388888888888828</v>
      </c>
      <c r="F1108">
        <f t="shared" si="103"/>
        <v>338.23770637962934</v>
      </c>
      <c r="G1108">
        <f t="shared" si="104"/>
        <v>579.84520202485851</v>
      </c>
      <c r="I1108">
        <f t="shared" si="105"/>
        <v>5.5555555555555556E-4</v>
      </c>
      <c r="J1108">
        <f t="shared" si="106"/>
        <v>0.46977459219392964</v>
      </c>
      <c r="K1108">
        <f t="shared" si="107"/>
        <v>1.3916284848596605</v>
      </c>
    </row>
    <row r="1109" spans="1:11" x14ac:dyDescent="0.35">
      <c r="A1109" s="5" t="s">
        <v>8</v>
      </c>
      <c r="B1109" s="5">
        <v>1106</v>
      </c>
      <c r="C1109" s="5">
        <v>84</v>
      </c>
      <c r="D1109" s="16">
        <v>63.9</v>
      </c>
      <c r="E1109" s="1">
        <f t="shared" si="102"/>
        <v>0.30555555555555597</v>
      </c>
      <c r="F1109">
        <f t="shared" si="103"/>
        <v>245.15239408333352</v>
      </c>
      <c r="G1109">
        <f t="shared" si="104"/>
        <v>594.73689260655635</v>
      </c>
      <c r="I1109">
        <f t="shared" si="105"/>
        <v>5.5555555555555556E-4</v>
      </c>
      <c r="J1109">
        <f t="shared" si="106"/>
        <v>0.34048943622685213</v>
      </c>
      <c r="K1109">
        <f t="shared" si="107"/>
        <v>1.4273685422557352</v>
      </c>
    </row>
    <row r="1110" spans="1:11" x14ac:dyDescent="0.35">
      <c r="A1110" s="5" t="s">
        <v>8</v>
      </c>
      <c r="B1110" s="5">
        <v>1107</v>
      </c>
      <c r="C1110" s="5">
        <v>85</v>
      </c>
      <c r="D1110" s="16">
        <v>64.5</v>
      </c>
      <c r="E1110" s="1">
        <f t="shared" si="102"/>
        <v>6.9444444444445433E-2</v>
      </c>
      <c r="F1110">
        <f t="shared" si="103"/>
        <v>138.21625208333379</v>
      </c>
      <c r="G1110">
        <f t="shared" si="104"/>
        <v>600.321276574693</v>
      </c>
      <c r="I1110">
        <f t="shared" si="105"/>
        <v>5.5555555555555556E-4</v>
      </c>
      <c r="J1110">
        <f t="shared" si="106"/>
        <v>0.19196701678240805</v>
      </c>
      <c r="K1110">
        <f t="shared" si="107"/>
        <v>1.4407710637792635</v>
      </c>
    </row>
    <row r="1111" spans="1:11" x14ac:dyDescent="0.35">
      <c r="A1111" s="5" t="s">
        <v>8</v>
      </c>
      <c r="B1111" s="5">
        <v>1108</v>
      </c>
      <c r="C1111" s="5">
        <v>86</v>
      </c>
      <c r="D1111" s="16">
        <v>64.400000000000006</v>
      </c>
      <c r="E1111" s="1">
        <f t="shared" si="102"/>
        <v>-0.1388888888888889</v>
      </c>
      <c r="F1111">
        <f t="shared" si="103"/>
        <v>43.094023851851851</v>
      </c>
      <c r="G1111">
        <f t="shared" si="104"/>
        <v>599.39054591333695</v>
      </c>
      <c r="I1111">
        <f t="shared" si="105"/>
        <v>5.5555555555555556E-4</v>
      </c>
      <c r="J1111">
        <f t="shared" si="106"/>
        <v>5.9852810905349794E-2</v>
      </c>
      <c r="K1111">
        <f t="shared" si="107"/>
        <v>1.4385373101920087</v>
      </c>
    </row>
    <row r="1112" spans="1:11" x14ac:dyDescent="0.35">
      <c r="A1112" s="5" t="s">
        <v>8</v>
      </c>
      <c r="B1112" s="5">
        <v>1109</v>
      </c>
      <c r="C1112" s="5">
        <v>87</v>
      </c>
      <c r="D1112" s="16">
        <v>63.5</v>
      </c>
      <c r="E1112" s="1">
        <f t="shared" si="102"/>
        <v>-0.33333333333333409</v>
      </c>
      <c r="F1112">
        <f t="shared" si="103"/>
        <v>0</v>
      </c>
      <c r="G1112">
        <f t="shared" si="104"/>
        <v>591.01396996113181</v>
      </c>
      <c r="I1112">
        <f t="shared" si="105"/>
        <v>5.5555555555555556E-4</v>
      </c>
      <c r="J1112">
        <f t="shared" si="106"/>
        <v>0</v>
      </c>
      <c r="K1112">
        <f t="shared" si="107"/>
        <v>1.4184335279067164</v>
      </c>
    </row>
    <row r="1113" spans="1:11" x14ac:dyDescent="0.35">
      <c r="A1113" s="5" t="s">
        <v>8</v>
      </c>
      <c r="B1113" s="5">
        <v>1110</v>
      </c>
      <c r="C1113" s="5">
        <v>88</v>
      </c>
      <c r="D1113" s="16">
        <v>62</v>
      </c>
      <c r="E1113" s="1">
        <f t="shared" si="102"/>
        <v>-0.31944444444444403</v>
      </c>
      <c r="F1113">
        <f t="shared" si="103"/>
        <v>0</v>
      </c>
      <c r="G1113">
        <f t="shared" si="104"/>
        <v>577.05301004079013</v>
      </c>
      <c r="I1113">
        <f t="shared" si="105"/>
        <v>5.5555555555555556E-4</v>
      </c>
      <c r="J1113">
        <f t="shared" si="106"/>
        <v>0</v>
      </c>
      <c r="K1113">
        <f t="shared" si="107"/>
        <v>1.3849272240978963</v>
      </c>
    </row>
    <row r="1114" spans="1:11" x14ac:dyDescent="0.35">
      <c r="A1114" s="5" t="s">
        <v>8</v>
      </c>
      <c r="B1114" s="5">
        <v>1111</v>
      </c>
      <c r="C1114" s="5">
        <v>89</v>
      </c>
      <c r="D1114" s="16">
        <v>61.2</v>
      </c>
      <c r="E1114" s="1">
        <f t="shared" si="102"/>
        <v>-9.7222222222222612E-2</v>
      </c>
      <c r="F1114">
        <f t="shared" si="103"/>
        <v>58.282854666666488</v>
      </c>
      <c r="G1114">
        <f t="shared" si="104"/>
        <v>569.60716474994126</v>
      </c>
      <c r="I1114">
        <f t="shared" si="105"/>
        <v>5.5555555555555556E-4</v>
      </c>
      <c r="J1114">
        <f t="shared" si="106"/>
        <v>8.0948409259259016E-2</v>
      </c>
      <c r="K1114">
        <f t="shared" si="107"/>
        <v>1.3670571953998591</v>
      </c>
    </row>
    <row r="1115" spans="1:11" x14ac:dyDescent="0.35">
      <c r="A1115" s="5" t="s">
        <v>8</v>
      </c>
      <c r="B1115" s="5">
        <v>1112</v>
      </c>
      <c r="C1115" s="5">
        <v>90</v>
      </c>
      <c r="D1115" s="16">
        <v>61.3</v>
      </c>
      <c r="E1115" s="1">
        <f t="shared" si="102"/>
        <v>0.19444444444444425</v>
      </c>
      <c r="F1115">
        <f t="shared" si="103"/>
        <v>191.39901415740729</v>
      </c>
      <c r="G1115">
        <f t="shared" si="104"/>
        <v>570.53789541129743</v>
      </c>
      <c r="I1115">
        <f t="shared" si="105"/>
        <v>5.5555555555555556E-4</v>
      </c>
      <c r="J1115">
        <f t="shared" si="106"/>
        <v>0.26583196410751014</v>
      </c>
      <c r="K1115">
        <f t="shared" si="107"/>
        <v>1.3692909489871139</v>
      </c>
    </row>
    <row r="1116" spans="1:11" x14ac:dyDescent="0.35">
      <c r="A1116" s="5" t="s">
        <v>8</v>
      </c>
      <c r="B1116" s="5">
        <v>1113</v>
      </c>
      <c r="C1116" s="5">
        <v>91</v>
      </c>
      <c r="D1116" s="16">
        <v>62.6</v>
      </c>
      <c r="E1116" s="1">
        <f t="shared" si="102"/>
        <v>0.55555555555555558</v>
      </c>
      <c r="F1116">
        <f t="shared" si="103"/>
        <v>357.59301218518522</v>
      </c>
      <c r="G1116">
        <f t="shared" si="104"/>
        <v>582.63739400892689</v>
      </c>
      <c r="I1116">
        <f t="shared" si="105"/>
        <v>5.5555555555555556E-4</v>
      </c>
      <c r="J1116">
        <f t="shared" si="106"/>
        <v>0.49665696136831278</v>
      </c>
      <c r="K1116">
        <f t="shared" si="107"/>
        <v>1.3983297456214248</v>
      </c>
    </row>
    <row r="1117" spans="1:11" x14ac:dyDescent="0.35">
      <c r="A1117" s="5" t="s">
        <v>8</v>
      </c>
      <c r="B1117" s="5">
        <v>1114</v>
      </c>
      <c r="C1117" s="5">
        <v>92</v>
      </c>
      <c r="D1117" s="16">
        <v>65.3</v>
      </c>
      <c r="E1117" s="1">
        <f t="shared" si="102"/>
        <v>0.74999999999999978</v>
      </c>
      <c r="F1117">
        <f t="shared" si="103"/>
        <v>449.53423860185171</v>
      </c>
      <c r="G1117">
        <f t="shared" si="104"/>
        <v>607.76712186554187</v>
      </c>
      <c r="I1117">
        <f t="shared" si="105"/>
        <v>5.5555555555555556E-4</v>
      </c>
      <c r="J1117">
        <f t="shared" si="106"/>
        <v>0.62435310916923847</v>
      </c>
      <c r="K1117">
        <f t="shared" si="107"/>
        <v>1.4586410924773006</v>
      </c>
    </row>
    <row r="1118" spans="1:11" x14ac:dyDescent="0.35">
      <c r="A1118" s="5" t="s">
        <v>8</v>
      </c>
      <c r="B1118" s="5">
        <v>1115</v>
      </c>
      <c r="C1118" s="5">
        <v>93</v>
      </c>
      <c r="D1118" s="16">
        <v>68</v>
      </c>
      <c r="E1118" s="1">
        <f t="shared" si="102"/>
        <v>0.56944444444444564</v>
      </c>
      <c r="F1118">
        <f t="shared" si="103"/>
        <v>370.61371851851902</v>
      </c>
      <c r="G1118">
        <f t="shared" si="104"/>
        <v>632.89684972215696</v>
      </c>
      <c r="I1118">
        <f t="shared" si="105"/>
        <v>5.5555555555555556E-4</v>
      </c>
      <c r="J1118">
        <f t="shared" si="106"/>
        <v>0.51474127572016526</v>
      </c>
      <c r="K1118">
        <f t="shared" si="107"/>
        <v>1.5189524393331768</v>
      </c>
    </row>
    <row r="1119" spans="1:11" x14ac:dyDescent="0.35">
      <c r="A1119" s="5" t="s">
        <v>8</v>
      </c>
      <c r="B1119" s="5">
        <v>1116</v>
      </c>
      <c r="C1119" s="5">
        <v>94</v>
      </c>
      <c r="D1119" s="16">
        <v>69.400000000000006</v>
      </c>
      <c r="E1119" s="1">
        <f t="shared" si="102"/>
        <v>0.23611111111111149</v>
      </c>
      <c r="F1119">
        <f t="shared" si="103"/>
        <v>220.43775440740757</v>
      </c>
      <c r="G1119">
        <f t="shared" si="104"/>
        <v>645.92707898114259</v>
      </c>
      <c r="I1119">
        <f t="shared" si="105"/>
        <v>5.5555555555555556E-4</v>
      </c>
      <c r="J1119">
        <f t="shared" si="106"/>
        <v>0.30616354778806609</v>
      </c>
      <c r="K1119">
        <f t="shared" si="107"/>
        <v>1.5502249895547424</v>
      </c>
    </row>
    <row r="1120" spans="1:11" x14ac:dyDescent="0.35">
      <c r="A1120" s="5" t="s">
        <v>8</v>
      </c>
      <c r="B1120" s="5">
        <v>1117</v>
      </c>
      <c r="C1120" s="5">
        <v>95</v>
      </c>
      <c r="D1120" s="16">
        <v>69.7</v>
      </c>
      <c r="E1120" s="1">
        <f t="shared" si="102"/>
        <v>-1.3888888888890073E-2</v>
      </c>
      <c r="F1120">
        <f t="shared" si="103"/>
        <v>106.83345526851798</v>
      </c>
      <c r="G1120">
        <f t="shared" si="104"/>
        <v>648.71927096521085</v>
      </c>
      <c r="I1120">
        <f t="shared" si="105"/>
        <v>5.5555555555555556E-4</v>
      </c>
      <c r="J1120">
        <f t="shared" si="106"/>
        <v>0.14837979898405276</v>
      </c>
      <c r="K1120">
        <f t="shared" si="107"/>
        <v>1.556926250316506</v>
      </c>
    </row>
    <row r="1121" spans="1:11" x14ac:dyDescent="0.35">
      <c r="A1121" s="5" t="s">
        <v>8</v>
      </c>
      <c r="B1121" s="5">
        <v>1118</v>
      </c>
      <c r="C1121" s="5">
        <v>96</v>
      </c>
      <c r="D1121" s="16">
        <v>69.3</v>
      </c>
      <c r="E1121" s="1">
        <f t="shared" si="102"/>
        <v>-0.2222222222222234</v>
      </c>
      <c r="F1121">
        <f t="shared" si="103"/>
        <v>11.306233416666135</v>
      </c>
      <c r="G1121">
        <f t="shared" si="104"/>
        <v>644.99634831978642</v>
      </c>
      <c r="I1121">
        <f t="shared" si="105"/>
        <v>5.5555555555555556E-4</v>
      </c>
      <c r="J1121">
        <f t="shared" si="106"/>
        <v>1.5703101967591854E-2</v>
      </c>
      <c r="K1121">
        <f t="shared" si="107"/>
        <v>1.5479912359674874</v>
      </c>
    </row>
    <row r="1122" spans="1:11" x14ac:dyDescent="0.35">
      <c r="A1122" s="5" t="s">
        <v>8</v>
      </c>
      <c r="B1122" s="5">
        <v>1119</v>
      </c>
      <c r="C1122" s="5">
        <v>97</v>
      </c>
      <c r="D1122" s="16">
        <v>68.099999999999994</v>
      </c>
      <c r="E1122" s="1">
        <f t="shared" si="102"/>
        <v>-0.33333333333333215</v>
      </c>
      <c r="F1122">
        <f t="shared" si="103"/>
        <v>0</v>
      </c>
      <c r="G1122">
        <f t="shared" si="104"/>
        <v>633.82758038351301</v>
      </c>
      <c r="I1122">
        <f t="shared" si="105"/>
        <v>5.5555555555555556E-4</v>
      </c>
      <c r="J1122">
        <f t="shared" si="106"/>
        <v>0</v>
      </c>
      <c r="K1122">
        <f t="shared" si="107"/>
        <v>1.5211861929204311</v>
      </c>
    </row>
    <row r="1123" spans="1:11" x14ac:dyDescent="0.35">
      <c r="A1123" s="5" t="s">
        <v>8</v>
      </c>
      <c r="B1123" s="5">
        <v>1120</v>
      </c>
      <c r="C1123" s="5">
        <v>98</v>
      </c>
      <c r="D1123" s="16">
        <v>66.900000000000006</v>
      </c>
      <c r="E1123" s="1">
        <f t="shared" si="102"/>
        <v>-0.26388888888888767</v>
      </c>
      <c r="F1123">
        <f t="shared" si="103"/>
        <v>0</v>
      </c>
      <c r="G1123">
        <f t="shared" si="104"/>
        <v>622.65881244723982</v>
      </c>
      <c r="I1123">
        <f t="shared" si="105"/>
        <v>5.5555555555555556E-4</v>
      </c>
      <c r="J1123">
        <f t="shared" si="106"/>
        <v>0</v>
      </c>
      <c r="K1123">
        <f t="shared" si="107"/>
        <v>1.4943811498733757</v>
      </c>
    </row>
    <row r="1124" spans="1:11" x14ac:dyDescent="0.35">
      <c r="A1124" s="5" t="s">
        <v>8</v>
      </c>
      <c r="B1124" s="5">
        <v>1121</v>
      </c>
      <c r="C1124" s="5">
        <v>99</v>
      </c>
      <c r="D1124" s="16">
        <v>66.2</v>
      </c>
      <c r="E1124" s="1">
        <f t="shared" si="102"/>
        <v>-0.16666666666666705</v>
      </c>
      <c r="F1124">
        <f t="shared" si="103"/>
        <v>32.656481518518355</v>
      </c>
      <c r="G1124">
        <f t="shared" si="104"/>
        <v>616.1436978177469</v>
      </c>
      <c r="I1124">
        <f t="shared" si="105"/>
        <v>5.5555555555555556E-4</v>
      </c>
      <c r="J1124">
        <f t="shared" si="106"/>
        <v>4.5356224331275494E-2</v>
      </c>
      <c r="K1124">
        <f t="shared" si="107"/>
        <v>1.4787448747625924</v>
      </c>
    </row>
    <row r="1125" spans="1:11" x14ac:dyDescent="0.35">
      <c r="A1125" s="5" t="s">
        <v>8</v>
      </c>
      <c r="B1125" s="5">
        <v>1122</v>
      </c>
      <c r="C1125" s="5">
        <v>100</v>
      </c>
      <c r="D1125" s="16">
        <v>65.7</v>
      </c>
      <c r="E1125" s="1">
        <f t="shared" si="102"/>
        <v>-0.18055555555555516</v>
      </c>
      <c r="F1125">
        <f t="shared" si="103"/>
        <v>25.697783416666841</v>
      </c>
      <c r="G1125">
        <f t="shared" si="104"/>
        <v>611.4900445109663</v>
      </c>
      <c r="I1125">
        <f t="shared" si="105"/>
        <v>5.5555555555555556E-4</v>
      </c>
      <c r="J1125">
        <f t="shared" si="106"/>
        <v>3.5691365856481722E-2</v>
      </c>
      <c r="K1125">
        <f t="shared" si="107"/>
        <v>1.4675761068263191</v>
      </c>
    </row>
    <row r="1126" spans="1:11" x14ac:dyDescent="0.35">
      <c r="A1126" s="5" t="s">
        <v>8</v>
      </c>
      <c r="B1126" s="5">
        <v>1123</v>
      </c>
      <c r="C1126" s="5">
        <v>101</v>
      </c>
      <c r="D1126" s="16">
        <v>64.900000000000006</v>
      </c>
      <c r="E1126" s="1">
        <f t="shared" si="102"/>
        <v>-0.34722222222222221</v>
      </c>
      <c r="F1126">
        <f t="shared" si="103"/>
        <v>0</v>
      </c>
      <c r="G1126">
        <f t="shared" si="104"/>
        <v>604.04419922011755</v>
      </c>
      <c r="I1126">
        <f t="shared" si="105"/>
        <v>5.5555555555555556E-4</v>
      </c>
      <c r="J1126">
        <f t="shared" si="106"/>
        <v>0</v>
      </c>
      <c r="K1126">
        <f t="shared" si="107"/>
        <v>1.4497060781282822</v>
      </c>
    </row>
    <row r="1127" spans="1:11" x14ac:dyDescent="0.35">
      <c r="A1127" s="5" t="s">
        <v>8</v>
      </c>
      <c r="B1127" s="5">
        <v>1124</v>
      </c>
      <c r="C1127" s="5">
        <v>102</v>
      </c>
      <c r="D1127" s="16">
        <v>63.2</v>
      </c>
      <c r="E1127" s="1">
        <f t="shared" si="102"/>
        <v>-0.63888888888889006</v>
      </c>
      <c r="F1127">
        <f t="shared" si="103"/>
        <v>0</v>
      </c>
      <c r="G1127">
        <f t="shared" si="104"/>
        <v>588.22177797706354</v>
      </c>
      <c r="I1127">
        <f t="shared" si="105"/>
        <v>5.5555555555555556E-4</v>
      </c>
      <c r="J1127">
        <f t="shared" si="106"/>
        <v>0</v>
      </c>
      <c r="K1127">
        <f t="shared" si="107"/>
        <v>1.4117322671449526</v>
      </c>
    </row>
    <row r="1128" spans="1:11" x14ac:dyDescent="0.35">
      <c r="A1128" s="5" t="s">
        <v>8</v>
      </c>
      <c r="B1128" s="5">
        <v>1125</v>
      </c>
      <c r="C1128" s="5">
        <v>103</v>
      </c>
      <c r="D1128" s="16">
        <v>60.3</v>
      </c>
      <c r="E1128" s="1">
        <f t="shared" si="102"/>
        <v>-1.0277777777777786</v>
      </c>
      <c r="F1128">
        <f t="shared" si="103"/>
        <v>0</v>
      </c>
      <c r="G1128">
        <f t="shared" si="104"/>
        <v>561.23058879773623</v>
      </c>
      <c r="I1128">
        <f t="shared" si="105"/>
        <v>5.5555555555555556E-4</v>
      </c>
      <c r="J1128">
        <f t="shared" si="106"/>
        <v>0</v>
      </c>
      <c r="K1128">
        <f t="shared" si="107"/>
        <v>1.3469534131145671</v>
      </c>
    </row>
    <row r="1129" spans="1:11" x14ac:dyDescent="0.35">
      <c r="A1129" s="5" t="s">
        <v>8</v>
      </c>
      <c r="B1129" s="5">
        <v>1126</v>
      </c>
      <c r="C1129" s="5">
        <v>104</v>
      </c>
      <c r="D1129" s="16">
        <v>55.8</v>
      </c>
      <c r="E1129" s="1">
        <f t="shared" si="102"/>
        <v>-1.3611111111111107</v>
      </c>
      <c r="F1129">
        <f t="shared" si="103"/>
        <v>0</v>
      </c>
      <c r="G1129">
        <f t="shared" si="104"/>
        <v>519.34770903671119</v>
      </c>
      <c r="I1129">
        <f t="shared" si="105"/>
        <v>5.5555555555555556E-4</v>
      </c>
      <c r="J1129">
        <f t="shared" si="106"/>
        <v>0</v>
      </c>
      <c r="K1129">
        <f t="shared" si="107"/>
        <v>1.2464345016881069</v>
      </c>
    </row>
    <row r="1130" spans="1:11" x14ac:dyDescent="0.35">
      <c r="A1130" s="5" t="s">
        <v>8</v>
      </c>
      <c r="B1130" s="5">
        <v>1127</v>
      </c>
      <c r="C1130" s="5">
        <v>105</v>
      </c>
      <c r="D1130" s="16">
        <v>50.5</v>
      </c>
      <c r="E1130" s="1">
        <f t="shared" si="102"/>
        <v>-1.4722222222222214</v>
      </c>
      <c r="F1130">
        <f t="shared" si="103"/>
        <v>0</v>
      </c>
      <c r="G1130">
        <f t="shared" si="104"/>
        <v>470.01898398483718</v>
      </c>
      <c r="I1130">
        <f t="shared" si="105"/>
        <v>5.5555555555555556E-4</v>
      </c>
      <c r="J1130">
        <f t="shared" si="106"/>
        <v>0</v>
      </c>
      <c r="K1130">
        <f t="shared" si="107"/>
        <v>1.1280455615636091</v>
      </c>
    </row>
    <row r="1131" spans="1:11" x14ac:dyDescent="0.35">
      <c r="A1131" s="5" t="s">
        <v>8</v>
      </c>
      <c r="B1131" s="5">
        <v>1128</v>
      </c>
      <c r="C1131" s="5">
        <v>106</v>
      </c>
      <c r="D1131" s="16">
        <v>45.2</v>
      </c>
      <c r="E1131" s="1">
        <f t="shared" si="102"/>
        <v>-1.4444444444444442</v>
      </c>
      <c r="F1131">
        <f t="shared" si="103"/>
        <v>0</v>
      </c>
      <c r="G1131">
        <f t="shared" si="104"/>
        <v>420.69025893296316</v>
      </c>
      <c r="I1131">
        <f t="shared" si="105"/>
        <v>5.5555555555555556E-4</v>
      </c>
      <c r="J1131">
        <f t="shared" si="106"/>
        <v>0</v>
      </c>
      <c r="K1131">
        <f t="shared" si="107"/>
        <v>1.0096566214391116</v>
      </c>
    </row>
    <row r="1132" spans="1:11" x14ac:dyDescent="0.35">
      <c r="A1132" s="5" t="s">
        <v>8</v>
      </c>
      <c r="B1132" s="5">
        <v>1129</v>
      </c>
      <c r="C1132" s="5">
        <v>107</v>
      </c>
      <c r="D1132" s="16">
        <v>40.1</v>
      </c>
      <c r="E1132" s="1">
        <f t="shared" si="102"/>
        <v>-1.25</v>
      </c>
      <c r="F1132">
        <f t="shared" si="103"/>
        <v>0</v>
      </c>
      <c r="G1132">
        <f t="shared" si="104"/>
        <v>373.22299520380136</v>
      </c>
      <c r="I1132">
        <f t="shared" si="105"/>
        <v>5.5555555555555556E-4</v>
      </c>
      <c r="J1132">
        <f t="shared" si="106"/>
        <v>0</v>
      </c>
      <c r="K1132">
        <f t="shared" si="107"/>
        <v>0.89573518848912337</v>
      </c>
    </row>
    <row r="1133" spans="1:11" x14ac:dyDescent="0.35">
      <c r="A1133" s="5" t="s">
        <v>8</v>
      </c>
      <c r="B1133" s="5">
        <v>1130</v>
      </c>
      <c r="C1133" s="5">
        <v>108</v>
      </c>
      <c r="D1133" s="16">
        <v>36.200000000000003</v>
      </c>
      <c r="E1133" s="1">
        <f t="shared" si="102"/>
        <v>-1.0000000000000004</v>
      </c>
      <c r="F1133">
        <f t="shared" si="103"/>
        <v>0</v>
      </c>
      <c r="G1133">
        <f t="shared" si="104"/>
        <v>336.92449941091297</v>
      </c>
      <c r="I1133">
        <f t="shared" si="105"/>
        <v>5.5555555555555556E-4</v>
      </c>
      <c r="J1133">
        <f t="shared" si="106"/>
        <v>0</v>
      </c>
      <c r="K1133">
        <f t="shared" si="107"/>
        <v>0.80861879858619112</v>
      </c>
    </row>
    <row r="1134" spans="1:11" x14ac:dyDescent="0.35">
      <c r="A1134" s="5" t="s">
        <v>8</v>
      </c>
      <c r="B1134" s="5">
        <v>1131</v>
      </c>
      <c r="C1134" s="5">
        <v>109</v>
      </c>
      <c r="D1134" s="16">
        <v>32.9</v>
      </c>
      <c r="E1134" s="1">
        <f t="shared" si="102"/>
        <v>-0.88888888888888917</v>
      </c>
      <c r="F1134">
        <f t="shared" si="103"/>
        <v>0</v>
      </c>
      <c r="G1134">
        <f t="shared" si="104"/>
        <v>306.21038758616123</v>
      </c>
      <c r="I1134">
        <f t="shared" si="105"/>
        <v>5.5555555555555556E-4</v>
      </c>
      <c r="J1134">
        <f t="shared" si="106"/>
        <v>0</v>
      </c>
      <c r="K1134">
        <f t="shared" si="107"/>
        <v>0.73490493020678693</v>
      </c>
    </row>
    <row r="1135" spans="1:11" x14ac:dyDescent="0.35">
      <c r="A1135" s="5" t="s">
        <v>8</v>
      </c>
      <c r="B1135" s="5">
        <v>1132</v>
      </c>
      <c r="C1135" s="5">
        <v>110</v>
      </c>
      <c r="D1135" s="16">
        <v>29.8</v>
      </c>
      <c r="E1135" s="1">
        <f t="shared" si="102"/>
        <v>-0.87499999999999956</v>
      </c>
      <c r="F1135">
        <f t="shared" si="103"/>
        <v>0</v>
      </c>
      <c r="G1135">
        <f t="shared" si="104"/>
        <v>277.35773708412171</v>
      </c>
      <c r="I1135">
        <f t="shared" si="105"/>
        <v>5.5555555555555556E-4</v>
      </c>
      <c r="J1135">
        <f t="shared" si="106"/>
        <v>0</v>
      </c>
      <c r="K1135">
        <f t="shared" si="107"/>
        <v>0.66565856900189213</v>
      </c>
    </row>
    <row r="1136" spans="1:11" x14ac:dyDescent="0.35">
      <c r="A1136" s="5" t="s">
        <v>8</v>
      </c>
      <c r="B1136" s="5">
        <v>1133</v>
      </c>
      <c r="C1136" s="5">
        <v>111</v>
      </c>
      <c r="D1136" s="16">
        <v>26.6</v>
      </c>
      <c r="E1136" s="1">
        <f t="shared" si="102"/>
        <v>-0.94444444444444453</v>
      </c>
      <c r="F1136">
        <f t="shared" si="103"/>
        <v>0</v>
      </c>
      <c r="G1136">
        <f t="shared" si="104"/>
        <v>247.57435592072611</v>
      </c>
      <c r="I1136">
        <f t="shared" si="105"/>
        <v>5.5555555555555556E-4</v>
      </c>
      <c r="J1136">
        <f t="shared" si="106"/>
        <v>0</v>
      </c>
      <c r="K1136">
        <f t="shared" si="107"/>
        <v>0.59417845420974269</v>
      </c>
    </row>
    <row r="1137" spans="1:11" x14ac:dyDescent="0.35">
      <c r="A1137" s="5" t="s">
        <v>8</v>
      </c>
      <c r="B1137" s="5">
        <v>1134</v>
      </c>
      <c r="C1137" s="5">
        <v>112</v>
      </c>
      <c r="D1137" s="16">
        <v>23</v>
      </c>
      <c r="E1137" s="1">
        <f t="shared" si="102"/>
        <v>-1.0000000000000004</v>
      </c>
      <c r="F1137">
        <f t="shared" si="103"/>
        <v>0</v>
      </c>
      <c r="G1137">
        <f t="shared" si="104"/>
        <v>214.06805211190604</v>
      </c>
      <c r="I1137">
        <f t="shared" si="105"/>
        <v>5.5555555555555556E-4</v>
      </c>
      <c r="J1137">
        <f t="shared" si="106"/>
        <v>0</v>
      </c>
      <c r="K1137">
        <f t="shared" si="107"/>
        <v>0.51376332506857447</v>
      </c>
    </row>
    <row r="1138" spans="1:11" x14ac:dyDescent="0.35">
      <c r="A1138" s="5" t="s">
        <v>8</v>
      </c>
      <c r="B1138" s="5">
        <v>1135</v>
      </c>
      <c r="C1138" s="5">
        <v>113</v>
      </c>
      <c r="D1138" s="16">
        <v>19.399999999999999</v>
      </c>
      <c r="E1138" s="1">
        <f t="shared" si="102"/>
        <v>-0.93055555555555547</v>
      </c>
      <c r="F1138">
        <f t="shared" si="103"/>
        <v>0</v>
      </c>
      <c r="G1138">
        <f t="shared" si="104"/>
        <v>180.56174830308595</v>
      </c>
      <c r="I1138">
        <f t="shared" si="105"/>
        <v>5.5555555555555556E-4</v>
      </c>
      <c r="J1138">
        <f t="shared" si="106"/>
        <v>0</v>
      </c>
      <c r="K1138">
        <f t="shared" si="107"/>
        <v>0.43334819592740631</v>
      </c>
    </row>
    <row r="1139" spans="1:11" x14ac:dyDescent="0.35">
      <c r="A1139" s="5" t="s">
        <v>8</v>
      </c>
      <c r="B1139" s="5">
        <v>1136</v>
      </c>
      <c r="C1139" s="5">
        <v>114</v>
      </c>
      <c r="D1139" s="16">
        <v>16.3</v>
      </c>
      <c r="E1139" s="1">
        <f t="shared" si="102"/>
        <v>-0.66666666666666652</v>
      </c>
      <c r="F1139">
        <f t="shared" si="103"/>
        <v>0</v>
      </c>
      <c r="G1139">
        <f t="shared" si="104"/>
        <v>151.70909780104645</v>
      </c>
      <c r="I1139">
        <f t="shared" si="105"/>
        <v>5.5555555555555556E-4</v>
      </c>
      <c r="J1139">
        <f t="shared" si="106"/>
        <v>0</v>
      </c>
      <c r="K1139">
        <f t="shared" si="107"/>
        <v>0.36410183472251151</v>
      </c>
    </row>
    <row r="1140" spans="1:11" x14ac:dyDescent="0.35">
      <c r="A1140" s="5" t="s">
        <v>8</v>
      </c>
      <c r="B1140" s="5">
        <v>1137</v>
      </c>
      <c r="C1140" s="5">
        <v>115</v>
      </c>
      <c r="D1140" s="16">
        <v>14.6</v>
      </c>
      <c r="E1140" s="1">
        <f t="shared" si="102"/>
        <v>-0.29166666666666685</v>
      </c>
      <c r="F1140">
        <f t="shared" si="103"/>
        <v>0</v>
      </c>
      <c r="G1140">
        <f t="shared" si="104"/>
        <v>135.88667655799253</v>
      </c>
      <c r="I1140">
        <f t="shared" si="105"/>
        <v>5.5555555555555556E-4</v>
      </c>
      <c r="J1140">
        <f t="shared" si="106"/>
        <v>0</v>
      </c>
      <c r="K1140">
        <f t="shared" si="107"/>
        <v>0.32612802373918204</v>
      </c>
    </row>
    <row r="1141" spans="1:11" x14ac:dyDescent="0.35">
      <c r="A1141" s="5" t="s">
        <v>8</v>
      </c>
      <c r="B1141" s="5">
        <v>1138</v>
      </c>
      <c r="C1141" s="5">
        <v>116</v>
      </c>
      <c r="D1141" s="16">
        <v>14.2</v>
      </c>
      <c r="E1141" s="1">
        <f t="shared" si="102"/>
        <v>-4.1666666666666519E-2</v>
      </c>
      <c r="F1141">
        <f t="shared" si="103"/>
        <v>50.012432629629693</v>
      </c>
      <c r="G1141">
        <f t="shared" si="104"/>
        <v>132.16375391256807</v>
      </c>
      <c r="I1141">
        <f t="shared" si="105"/>
        <v>5.5555555555555556E-4</v>
      </c>
      <c r="J1141">
        <f t="shared" si="106"/>
        <v>6.9461711985596794E-2</v>
      </c>
      <c r="K1141">
        <f t="shared" si="107"/>
        <v>0.31719300939016337</v>
      </c>
    </row>
    <row r="1142" spans="1:11" x14ac:dyDescent="0.35">
      <c r="A1142" s="5" t="s">
        <v>8</v>
      </c>
      <c r="B1142" s="5">
        <v>1139</v>
      </c>
      <c r="C1142" s="5">
        <v>117</v>
      </c>
      <c r="D1142" s="16">
        <v>14.3</v>
      </c>
      <c r="E1142" s="1">
        <f t="shared" si="102"/>
        <v>5.5555555555555601E-2</v>
      </c>
      <c r="F1142">
        <f t="shared" si="103"/>
        <v>94.372790824074087</v>
      </c>
      <c r="G1142">
        <f t="shared" si="104"/>
        <v>133.09448457392418</v>
      </c>
      <c r="I1142">
        <f t="shared" si="105"/>
        <v>5.5555555555555556E-4</v>
      </c>
      <c r="J1142">
        <f t="shared" si="106"/>
        <v>0.13107332058899179</v>
      </c>
      <c r="K1142">
        <f t="shared" si="107"/>
        <v>0.31942676297741801</v>
      </c>
    </row>
    <row r="1143" spans="1:11" x14ac:dyDescent="0.35">
      <c r="A1143" s="5" t="s">
        <v>8</v>
      </c>
      <c r="B1143" s="5">
        <v>1140</v>
      </c>
      <c r="C1143" s="5">
        <v>118</v>
      </c>
      <c r="D1143" s="16">
        <v>14.6</v>
      </c>
      <c r="E1143" s="1">
        <f t="shared" si="102"/>
        <v>0.11111111111111097</v>
      </c>
      <c r="F1143">
        <f t="shared" si="103"/>
        <v>119.78833662962955</v>
      </c>
      <c r="G1143">
        <f t="shared" si="104"/>
        <v>135.88667655799253</v>
      </c>
      <c r="I1143">
        <f t="shared" si="105"/>
        <v>5.5555555555555556E-4</v>
      </c>
      <c r="J1143">
        <f t="shared" si="106"/>
        <v>0.16637268976337438</v>
      </c>
      <c r="K1143">
        <f t="shared" si="107"/>
        <v>0.32612802373918204</v>
      </c>
    </row>
    <row r="1144" spans="1:11" x14ac:dyDescent="0.35">
      <c r="A1144" s="5" t="s">
        <v>8</v>
      </c>
      <c r="B1144" s="5">
        <v>1141</v>
      </c>
      <c r="C1144" s="5">
        <v>119</v>
      </c>
      <c r="D1144" s="16">
        <v>15.1</v>
      </c>
      <c r="E1144" s="1">
        <f t="shared" si="102"/>
        <v>0.24999999999999983</v>
      </c>
      <c r="F1144">
        <f t="shared" si="103"/>
        <v>183.26248371296285</v>
      </c>
      <c r="G1144">
        <f t="shared" si="104"/>
        <v>140.5403298647731</v>
      </c>
      <c r="I1144">
        <f t="shared" si="105"/>
        <v>5.5555555555555556E-4</v>
      </c>
      <c r="J1144">
        <f t="shared" si="106"/>
        <v>0.25453122737911504</v>
      </c>
      <c r="K1144">
        <f t="shared" si="107"/>
        <v>0.33729679167545545</v>
      </c>
    </row>
    <row r="1145" spans="1:11" x14ac:dyDescent="0.35">
      <c r="A1145" s="5" t="s">
        <v>8</v>
      </c>
      <c r="B1145" s="5">
        <v>1142</v>
      </c>
      <c r="C1145" s="5">
        <v>120</v>
      </c>
      <c r="D1145" s="16">
        <v>16.399999999999999</v>
      </c>
      <c r="E1145" s="1">
        <f t="shared" si="102"/>
        <v>0.5555555555555558</v>
      </c>
      <c r="F1145">
        <f t="shared" si="103"/>
        <v>322.98412162962973</v>
      </c>
      <c r="G1145">
        <f t="shared" si="104"/>
        <v>152.63982846240253</v>
      </c>
      <c r="I1145">
        <f t="shared" si="105"/>
        <v>5.5555555555555556E-4</v>
      </c>
      <c r="J1145">
        <f t="shared" si="106"/>
        <v>0.44858905781893016</v>
      </c>
      <c r="K1145">
        <f t="shared" si="107"/>
        <v>0.36633558830976609</v>
      </c>
    </row>
    <row r="1146" spans="1:11" x14ac:dyDescent="0.35">
      <c r="A1146" s="5" t="s">
        <v>8</v>
      </c>
      <c r="B1146" s="5">
        <v>1143</v>
      </c>
      <c r="C1146" s="5">
        <v>121</v>
      </c>
      <c r="D1146" s="16">
        <v>19.100000000000001</v>
      </c>
      <c r="E1146" s="1">
        <f t="shared" si="102"/>
        <v>0.84722222222222243</v>
      </c>
      <c r="F1146">
        <f t="shared" si="103"/>
        <v>456.89301037962969</v>
      </c>
      <c r="G1146">
        <f t="shared" si="104"/>
        <v>177.76955631901762</v>
      </c>
      <c r="I1146">
        <f t="shared" si="105"/>
        <v>5.5555555555555556E-4</v>
      </c>
      <c r="J1146">
        <f t="shared" si="106"/>
        <v>0.63457362552726349</v>
      </c>
      <c r="K1146">
        <f t="shared" si="107"/>
        <v>0.42664693516564234</v>
      </c>
    </row>
    <row r="1147" spans="1:11" x14ac:dyDescent="0.35">
      <c r="A1147" s="5" t="s">
        <v>8</v>
      </c>
      <c r="B1147" s="5">
        <v>1144</v>
      </c>
      <c r="C1147" s="5">
        <v>122</v>
      </c>
      <c r="D1147" s="16">
        <v>22.5</v>
      </c>
      <c r="E1147" s="1">
        <f t="shared" si="102"/>
        <v>0.73611111111111072</v>
      </c>
      <c r="F1147">
        <f t="shared" si="103"/>
        <v>407.56753541666649</v>
      </c>
      <c r="G1147">
        <f t="shared" si="104"/>
        <v>209.41439880512547</v>
      </c>
      <c r="I1147">
        <f t="shared" si="105"/>
        <v>5.5555555555555556E-4</v>
      </c>
      <c r="J1147">
        <f t="shared" si="106"/>
        <v>0.56606602141203677</v>
      </c>
      <c r="K1147">
        <f t="shared" si="107"/>
        <v>0.50259455713230117</v>
      </c>
    </row>
    <row r="1148" spans="1:11" x14ac:dyDescent="0.35">
      <c r="A1148" s="5" t="s">
        <v>8</v>
      </c>
      <c r="B1148" s="5">
        <v>1145</v>
      </c>
      <c r="C1148" s="5">
        <v>123</v>
      </c>
      <c r="D1148" s="16">
        <v>24.4</v>
      </c>
      <c r="E1148" s="1">
        <f t="shared" si="102"/>
        <v>0.31944444444444453</v>
      </c>
      <c r="F1148">
        <f t="shared" si="103"/>
        <v>218.41251274074077</v>
      </c>
      <c r="G1148">
        <f t="shared" si="104"/>
        <v>227.09828137089161</v>
      </c>
      <c r="I1148">
        <f t="shared" si="105"/>
        <v>5.5555555555555556E-4</v>
      </c>
      <c r="J1148">
        <f t="shared" si="106"/>
        <v>0.30335071213991771</v>
      </c>
      <c r="K1148">
        <f t="shared" si="107"/>
        <v>0.54503587529013986</v>
      </c>
    </row>
    <row r="1149" spans="1:11" x14ac:dyDescent="0.35">
      <c r="A1149" s="5" t="s">
        <v>8</v>
      </c>
      <c r="B1149" s="5">
        <v>1146</v>
      </c>
      <c r="C1149" s="5">
        <v>124</v>
      </c>
      <c r="D1149" s="16">
        <v>24.8</v>
      </c>
      <c r="E1149" s="1">
        <f t="shared" si="102"/>
        <v>-0.23611111111111099</v>
      </c>
      <c r="F1149">
        <f t="shared" si="103"/>
        <v>0</v>
      </c>
      <c r="G1149">
        <f t="shared" si="104"/>
        <v>230.82120401631607</v>
      </c>
      <c r="I1149">
        <f t="shared" si="105"/>
        <v>5.5555555555555556E-4</v>
      </c>
      <c r="J1149">
        <f t="shared" si="106"/>
        <v>0</v>
      </c>
      <c r="K1149">
        <f t="shared" si="107"/>
        <v>0.55397088963915853</v>
      </c>
    </row>
    <row r="1150" spans="1:11" x14ac:dyDescent="0.35">
      <c r="A1150" s="5" t="s">
        <v>8</v>
      </c>
      <c r="B1150" s="5">
        <v>1147</v>
      </c>
      <c r="C1150" s="5">
        <v>125</v>
      </c>
      <c r="D1150" s="16">
        <v>22.7</v>
      </c>
      <c r="E1150" s="1">
        <f t="shared" si="102"/>
        <v>-1.0277777777777781</v>
      </c>
      <c r="F1150">
        <f t="shared" si="103"/>
        <v>0</v>
      </c>
      <c r="G1150">
        <f t="shared" si="104"/>
        <v>211.27586012783769</v>
      </c>
      <c r="I1150">
        <f t="shared" si="105"/>
        <v>5.5555555555555556E-4</v>
      </c>
      <c r="J1150">
        <f t="shared" si="106"/>
        <v>0</v>
      </c>
      <c r="K1150">
        <f t="shared" si="107"/>
        <v>0.50706206430681044</v>
      </c>
    </row>
    <row r="1151" spans="1:11" x14ac:dyDescent="0.35">
      <c r="A1151" s="5" t="s">
        <v>8</v>
      </c>
      <c r="B1151" s="5">
        <v>1148</v>
      </c>
      <c r="C1151" s="5">
        <v>126</v>
      </c>
      <c r="D1151" s="16">
        <v>17.399999999999999</v>
      </c>
      <c r="E1151" s="1">
        <f t="shared" si="102"/>
        <v>-1.2361111111111109</v>
      </c>
      <c r="F1151">
        <f t="shared" si="103"/>
        <v>0</v>
      </c>
      <c r="G1151">
        <f t="shared" si="104"/>
        <v>161.9471350759637</v>
      </c>
      <c r="I1151">
        <f t="shared" si="105"/>
        <v>5.5555555555555556E-4</v>
      </c>
      <c r="J1151">
        <f t="shared" si="106"/>
        <v>0</v>
      </c>
      <c r="K1151">
        <f t="shared" si="107"/>
        <v>0.38867312418231292</v>
      </c>
    </row>
    <row r="1152" spans="1:11" x14ac:dyDescent="0.35">
      <c r="A1152" s="5" t="s">
        <v>8</v>
      </c>
      <c r="B1152" s="5">
        <v>1149</v>
      </c>
      <c r="C1152" s="5">
        <v>127</v>
      </c>
      <c r="D1152" s="16">
        <v>13.8</v>
      </c>
      <c r="E1152" s="1">
        <f t="shared" si="102"/>
        <v>-0.74999999999999978</v>
      </c>
      <c r="F1152">
        <f t="shared" si="103"/>
        <v>0</v>
      </c>
      <c r="G1152">
        <f t="shared" si="104"/>
        <v>128.44083126714361</v>
      </c>
      <c r="I1152">
        <f t="shared" si="105"/>
        <v>5.5555555555555556E-4</v>
      </c>
      <c r="J1152">
        <f t="shared" si="106"/>
        <v>0</v>
      </c>
      <c r="K1152">
        <f t="shared" si="107"/>
        <v>0.30825799504114471</v>
      </c>
    </row>
    <row r="1153" spans="1:11" x14ac:dyDescent="0.35">
      <c r="A1153" s="5" t="s">
        <v>8</v>
      </c>
      <c r="B1153" s="5">
        <v>1150</v>
      </c>
      <c r="C1153" s="5">
        <v>128</v>
      </c>
      <c r="D1153" s="16">
        <v>12</v>
      </c>
      <c r="E1153" s="1">
        <f t="shared" si="102"/>
        <v>-0.25000000000000011</v>
      </c>
      <c r="F1153">
        <f t="shared" si="103"/>
        <v>0</v>
      </c>
      <c r="G1153">
        <f t="shared" si="104"/>
        <v>111.68767936273358</v>
      </c>
      <c r="I1153">
        <f t="shared" si="105"/>
        <v>5.5555555555555556E-4</v>
      </c>
      <c r="J1153">
        <f t="shared" si="106"/>
        <v>0</v>
      </c>
      <c r="K1153">
        <f t="shared" si="107"/>
        <v>0.2680504304705606</v>
      </c>
    </row>
    <row r="1154" spans="1:11" x14ac:dyDescent="0.35">
      <c r="A1154" s="5" t="s">
        <v>8</v>
      </c>
      <c r="B1154" s="5">
        <v>1151</v>
      </c>
      <c r="C1154" s="5">
        <v>129</v>
      </c>
      <c r="D1154" s="16">
        <v>12</v>
      </c>
      <c r="E1154" s="1">
        <f t="shared" si="102"/>
        <v>0</v>
      </c>
      <c r="F1154">
        <f t="shared" si="103"/>
        <v>68.465866666666656</v>
      </c>
      <c r="G1154">
        <f t="shared" si="104"/>
        <v>111.68767936273358</v>
      </c>
      <c r="I1154">
        <f t="shared" si="105"/>
        <v>5.5555555555555556E-4</v>
      </c>
      <c r="J1154">
        <f t="shared" si="106"/>
        <v>9.5091481481481471E-2</v>
      </c>
      <c r="K1154">
        <f t="shared" si="107"/>
        <v>0.2680504304705606</v>
      </c>
    </row>
    <row r="1155" spans="1:11" x14ac:dyDescent="0.35">
      <c r="A1155" s="5" t="s">
        <v>8</v>
      </c>
      <c r="B1155" s="5">
        <v>1152</v>
      </c>
      <c r="C1155" s="5">
        <v>130</v>
      </c>
      <c r="D1155" s="16">
        <v>12</v>
      </c>
      <c r="E1155" s="1">
        <f t="shared" si="102"/>
        <v>0.26388888888888895</v>
      </c>
      <c r="F1155">
        <f t="shared" si="103"/>
        <v>188.79920000000004</v>
      </c>
      <c r="G1155">
        <f t="shared" si="104"/>
        <v>111.68767936273358</v>
      </c>
      <c r="I1155">
        <f t="shared" si="105"/>
        <v>5.5555555555555556E-4</v>
      </c>
      <c r="J1155">
        <f t="shared" si="106"/>
        <v>0.26222111111111118</v>
      </c>
      <c r="K1155">
        <f t="shared" si="107"/>
        <v>0.2680504304705606</v>
      </c>
    </row>
    <row r="1156" spans="1:11" x14ac:dyDescent="0.35">
      <c r="A1156" s="5" t="s">
        <v>8</v>
      </c>
      <c r="B1156" s="5">
        <v>1153</v>
      </c>
      <c r="C1156" s="5">
        <v>131</v>
      </c>
      <c r="D1156" s="16">
        <v>13.9</v>
      </c>
      <c r="E1156" s="1">
        <f t="shared" si="102"/>
        <v>0.94444444444444453</v>
      </c>
      <c r="F1156">
        <f t="shared" si="103"/>
        <v>499.5991626018519</v>
      </c>
      <c r="G1156">
        <f t="shared" si="104"/>
        <v>129.37156192849974</v>
      </c>
      <c r="I1156">
        <f t="shared" si="105"/>
        <v>5.5555555555555556E-4</v>
      </c>
      <c r="J1156">
        <f t="shared" si="106"/>
        <v>0.69388772583590541</v>
      </c>
      <c r="K1156">
        <f t="shared" si="107"/>
        <v>0.3104917486283994</v>
      </c>
    </row>
    <row r="1157" spans="1:11" x14ac:dyDescent="0.35">
      <c r="A1157" s="5" t="s">
        <v>8</v>
      </c>
      <c r="B1157" s="5">
        <v>1154</v>
      </c>
      <c r="C1157" s="5">
        <v>132</v>
      </c>
      <c r="D1157" s="16">
        <v>18.8</v>
      </c>
      <c r="E1157" s="1">
        <f t="shared" ref="E1157:E1220" si="108">($D1158-$D1156)/2/3.6</f>
        <v>1.5555555555555556</v>
      </c>
      <c r="F1157">
        <f t="shared" ref="F1157:F1220" si="109">IF(D1157=0,0,MAX(0,0.285*(1600*E1157 + 1600*9.81*0.015 + 0.5*1.225*0.32*2.2*(D1157/3.6)^2)))</f>
        <v>779.78519540740751</v>
      </c>
      <c r="G1157">
        <f t="shared" ref="G1157:G1220" si="110">60*D1157/(2*PI()*3.6*0.285)</f>
        <v>174.97736433494927</v>
      </c>
      <c r="I1157">
        <f t="shared" ref="I1157:I1220" si="111">1/1800</f>
        <v>5.5555555555555556E-4</v>
      </c>
      <c r="J1157">
        <f t="shared" ref="J1157:J1220" si="112">F1157/(M$3*3.6)</f>
        <v>1.0830349936213994</v>
      </c>
      <c r="K1157">
        <f t="shared" ref="K1157:K1220" si="113">G1157*3.6/N$3</f>
        <v>0.41994567440387826</v>
      </c>
    </row>
    <row r="1158" spans="1:11" x14ac:dyDescent="0.35">
      <c r="A1158" s="5" t="s">
        <v>8</v>
      </c>
      <c r="B1158" s="5">
        <v>1155</v>
      </c>
      <c r="C1158" s="5">
        <v>133</v>
      </c>
      <c r="D1158" s="16">
        <v>25.1</v>
      </c>
      <c r="E1158" s="1">
        <f t="shared" si="108"/>
        <v>1.5277777777777777</v>
      </c>
      <c r="F1158">
        <f t="shared" si="109"/>
        <v>769.7410781574074</v>
      </c>
      <c r="G1158">
        <f t="shared" si="110"/>
        <v>233.6133960003844</v>
      </c>
      <c r="I1158">
        <f t="shared" si="111"/>
        <v>5.5555555555555556E-4</v>
      </c>
      <c r="J1158">
        <f t="shared" si="112"/>
        <v>1.0690848307741769</v>
      </c>
      <c r="K1158">
        <f t="shared" si="113"/>
        <v>0.56067215040092255</v>
      </c>
    </row>
    <row r="1159" spans="1:11" x14ac:dyDescent="0.35">
      <c r="A1159" s="5" t="s">
        <v>8</v>
      </c>
      <c r="B1159" s="5">
        <v>1156</v>
      </c>
      <c r="C1159" s="5">
        <v>134</v>
      </c>
      <c r="D1159" s="16">
        <v>29.8</v>
      </c>
      <c r="E1159" s="1">
        <f t="shared" si="108"/>
        <v>1.2083333333333328</v>
      </c>
      <c r="F1159">
        <f t="shared" si="109"/>
        <v>626.52115707407381</v>
      </c>
      <c r="G1159">
        <f t="shared" si="110"/>
        <v>277.35773708412171</v>
      </c>
      <c r="I1159">
        <f t="shared" si="111"/>
        <v>5.5555555555555556E-4</v>
      </c>
      <c r="J1159">
        <f t="shared" si="112"/>
        <v>0.87016827371399141</v>
      </c>
      <c r="K1159">
        <f t="shared" si="113"/>
        <v>0.66565856900189213</v>
      </c>
    </row>
    <row r="1160" spans="1:11" x14ac:dyDescent="0.35">
      <c r="A1160" s="5" t="s">
        <v>8</v>
      </c>
      <c r="B1160" s="5">
        <v>1157</v>
      </c>
      <c r="C1160" s="5">
        <v>135</v>
      </c>
      <c r="D1160" s="16">
        <v>33.799999999999997</v>
      </c>
      <c r="E1160" s="1">
        <f t="shared" si="108"/>
        <v>1.166666666666667</v>
      </c>
      <c r="F1160">
        <f t="shared" si="109"/>
        <v>609.93348151851853</v>
      </c>
      <c r="G1160">
        <f t="shared" si="110"/>
        <v>314.58696353836621</v>
      </c>
      <c r="I1160">
        <f t="shared" si="111"/>
        <v>5.5555555555555556E-4</v>
      </c>
      <c r="J1160">
        <f t="shared" si="112"/>
        <v>0.84712983544238685</v>
      </c>
      <c r="K1160">
        <f t="shared" si="113"/>
        <v>0.7550087124920789</v>
      </c>
    </row>
    <row r="1161" spans="1:11" x14ac:dyDescent="0.35">
      <c r="A1161" s="5" t="s">
        <v>8</v>
      </c>
      <c r="B1161" s="5">
        <v>1158</v>
      </c>
      <c r="C1161" s="5">
        <v>136</v>
      </c>
      <c r="D1161" s="16">
        <v>38.200000000000003</v>
      </c>
      <c r="E1161" s="1">
        <f t="shared" si="108"/>
        <v>1.3333333333333335</v>
      </c>
      <c r="F1161">
        <f t="shared" si="109"/>
        <v>688.93750818518515</v>
      </c>
      <c r="G1161">
        <f t="shared" si="110"/>
        <v>355.53911263803525</v>
      </c>
      <c r="I1161">
        <f t="shared" si="111"/>
        <v>5.5555555555555556E-4</v>
      </c>
      <c r="J1161">
        <f t="shared" si="112"/>
        <v>0.9568576502572016</v>
      </c>
      <c r="K1161">
        <f t="shared" si="113"/>
        <v>0.85329387033128468</v>
      </c>
    </row>
    <row r="1162" spans="1:11" x14ac:dyDescent="0.35">
      <c r="A1162" s="5" t="s">
        <v>8</v>
      </c>
      <c r="B1162" s="5">
        <v>1159</v>
      </c>
      <c r="C1162" s="5">
        <v>137</v>
      </c>
      <c r="D1162" s="16">
        <v>43.4</v>
      </c>
      <c r="E1162" s="1">
        <f t="shared" si="108"/>
        <v>1.4861111111111105</v>
      </c>
      <c r="F1162">
        <f t="shared" si="109"/>
        <v>762.62774996296275</v>
      </c>
      <c r="G1162">
        <f t="shared" si="110"/>
        <v>403.9371070285531</v>
      </c>
      <c r="I1162">
        <f t="shared" si="111"/>
        <v>5.5555555555555556E-4</v>
      </c>
      <c r="J1162">
        <f t="shared" si="112"/>
        <v>1.0592052082818928</v>
      </c>
      <c r="K1162">
        <f t="shared" si="113"/>
        <v>0.96944905686852745</v>
      </c>
    </row>
    <row r="1163" spans="1:11" x14ac:dyDescent="0.35">
      <c r="A1163" s="5" t="s">
        <v>8</v>
      </c>
      <c r="B1163" s="5">
        <v>1160</v>
      </c>
      <c r="C1163" s="5">
        <v>138</v>
      </c>
      <c r="D1163" s="16">
        <v>48.9</v>
      </c>
      <c r="E1163" s="1">
        <f t="shared" si="108"/>
        <v>1.4444444444444442</v>
      </c>
      <c r="F1163">
        <f t="shared" si="109"/>
        <v>748.44149408333317</v>
      </c>
      <c r="G1163">
        <f t="shared" si="110"/>
        <v>455.12729340313933</v>
      </c>
      <c r="I1163">
        <f t="shared" si="111"/>
        <v>5.5555555555555556E-4</v>
      </c>
      <c r="J1163">
        <f t="shared" si="112"/>
        <v>1.0395020751157404</v>
      </c>
      <c r="K1163">
        <f t="shared" si="113"/>
        <v>1.0923055041675345</v>
      </c>
    </row>
    <row r="1164" spans="1:11" x14ac:dyDescent="0.35">
      <c r="A1164" s="5" t="s">
        <v>8</v>
      </c>
      <c r="B1164" s="5">
        <v>1161</v>
      </c>
      <c r="C1164" s="5">
        <v>139</v>
      </c>
      <c r="D1164" s="16">
        <v>53.8</v>
      </c>
      <c r="E1164" s="1">
        <f t="shared" si="108"/>
        <v>1.2361111111111109</v>
      </c>
      <c r="F1164">
        <f t="shared" si="109"/>
        <v>658.21332596296281</v>
      </c>
      <c r="G1164">
        <f t="shared" si="110"/>
        <v>500.73309580958886</v>
      </c>
      <c r="I1164">
        <f t="shared" si="111"/>
        <v>5.5555555555555556E-4</v>
      </c>
      <c r="J1164">
        <f t="shared" si="112"/>
        <v>0.91418517494855944</v>
      </c>
      <c r="K1164">
        <f t="shared" si="113"/>
        <v>1.2017594299430132</v>
      </c>
    </row>
    <row r="1165" spans="1:11" x14ac:dyDescent="0.35">
      <c r="A1165" s="5" t="s">
        <v>8</v>
      </c>
      <c r="B1165" s="5">
        <v>1162</v>
      </c>
      <c r="C1165" s="5">
        <v>140</v>
      </c>
      <c r="D1165" s="16">
        <v>57.8</v>
      </c>
      <c r="E1165" s="1">
        <f t="shared" si="108"/>
        <v>1.0694444444444449</v>
      </c>
      <c r="F1165">
        <f t="shared" si="109"/>
        <v>586.44627262962979</v>
      </c>
      <c r="G1165">
        <f t="shared" si="110"/>
        <v>537.96232226383336</v>
      </c>
      <c r="I1165">
        <f t="shared" si="111"/>
        <v>5.5555555555555556E-4</v>
      </c>
      <c r="J1165">
        <f t="shared" si="112"/>
        <v>0.81450871198559693</v>
      </c>
      <c r="K1165">
        <f t="shared" si="113"/>
        <v>1.2911095734332001</v>
      </c>
    </row>
    <row r="1166" spans="1:11" x14ac:dyDescent="0.35">
      <c r="A1166" s="5" t="s">
        <v>8</v>
      </c>
      <c r="B1166" s="5">
        <v>1163</v>
      </c>
      <c r="C1166" s="5">
        <v>141</v>
      </c>
      <c r="D1166" s="16">
        <v>61.5</v>
      </c>
      <c r="E1166" s="1">
        <f t="shared" si="108"/>
        <v>1.0000000000000004</v>
      </c>
      <c r="F1166">
        <f t="shared" si="109"/>
        <v>558.96523541666681</v>
      </c>
      <c r="G1166">
        <f t="shared" si="110"/>
        <v>572.39935673400964</v>
      </c>
      <c r="I1166">
        <f t="shared" si="111"/>
        <v>5.5555555555555556E-4</v>
      </c>
      <c r="J1166">
        <f t="shared" si="112"/>
        <v>0.77634060474537059</v>
      </c>
      <c r="K1166">
        <f t="shared" si="113"/>
        <v>1.3737584561616232</v>
      </c>
    </row>
    <row r="1167" spans="1:11" x14ac:dyDescent="0.35">
      <c r="A1167" s="5" t="s">
        <v>8</v>
      </c>
      <c r="B1167" s="5">
        <v>1164</v>
      </c>
      <c r="C1167" s="5">
        <v>142</v>
      </c>
      <c r="D1167" s="16">
        <v>65</v>
      </c>
      <c r="E1167" s="1">
        <f t="shared" si="108"/>
        <v>0.95833333333333415</v>
      </c>
      <c r="F1167">
        <f t="shared" si="109"/>
        <v>544.1635712962966</v>
      </c>
      <c r="G1167">
        <f t="shared" si="110"/>
        <v>604.9749298814736</v>
      </c>
      <c r="I1167">
        <f t="shared" si="111"/>
        <v>5.5555555555555556E-4</v>
      </c>
      <c r="J1167">
        <f t="shared" si="112"/>
        <v>0.75578273791152306</v>
      </c>
      <c r="K1167">
        <f t="shared" si="113"/>
        <v>1.4519398317155368</v>
      </c>
    </row>
    <row r="1168" spans="1:11" x14ac:dyDescent="0.35">
      <c r="A1168" s="5" t="s">
        <v>8</v>
      </c>
      <c r="B1168" s="5">
        <v>1165</v>
      </c>
      <c r="C1168" s="5">
        <v>143</v>
      </c>
      <c r="D1168" s="16">
        <v>68.400000000000006</v>
      </c>
      <c r="E1168" s="1">
        <f t="shared" si="108"/>
        <v>0.91666666666666585</v>
      </c>
      <c r="F1168">
        <f t="shared" si="109"/>
        <v>529.46441199999958</v>
      </c>
      <c r="G1168">
        <f t="shared" si="110"/>
        <v>636.61977236758139</v>
      </c>
      <c r="I1168">
        <f t="shared" si="111"/>
        <v>5.5555555555555556E-4</v>
      </c>
      <c r="J1168">
        <f t="shared" si="112"/>
        <v>0.73536723888888833</v>
      </c>
      <c r="K1168">
        <f t="shared" si="113"/>
        <v>1.5278874536821954</v>
      </c>
    </row>
    <row r="1169" spans="1:11" x14ac:dyDescent="0.35">
      <c r="A1169" s="5" t="s">
        <v>8</v>
      </c>
      <c r="B1169" s="5">
        <v>1166</v>
      </c>
      <c r="C1169" s="5">
        <v>144</v>
      </c>
      <c r="D1169" s="16">
        <v>71.599999999999994</v>
      </c>
      <c r="E1169" s="1">
        <f t="shared" si="108"/>
        <v>0.63888888888888806</v>
      </c>
      <c r="F1169">
        <f t="shared" si="109"/>
        <v>407.04586385185144</v>
      </c>
      <c r="G1169">
        <f t="shared" si="110"/>
        <v>666.40315353097708</v>
      </c>
      <c r="I1169">
        <f t="shared" si="111"/>
        <v>5.5555555555555556E-4</v>
      </c>
      <c r="J1169">
        <f t="shared" si="112"/>
        <v>0.56534147757201592</v>
      </c>
      <c r="K1169">
        <f t="shared" si="113"/>
        <v>1.5993675684743451</v>
      </c>
    </row>
    <row r="1170" spans="1:11" x14ac:dyDescent="0.35">
      <c r="A1170" s="5" t="s">
        <v>8</v>
      </c>
      <c r="B1170" s="5">
        <v>1167</v>
      </c>
      <c r="C1170" s="5">
        <v>145</v>
      </c>
      <c r="D1170" s="16">
        <v>73</v>
      </c>
      <c r="E1170" s="1">
        <f t="shared" si="108"/>
        <v>0.37500000000000039</v>
      </c>
      <c r="F1170">
        <f t="shared" si="109"/>
        <v>288.63214907407422</v>
      </c>
      <c r="G1170">
        <f t="shared" si="110"/>
        <v>679.43338278996259</v>
      </c>
      <c r="I1170">
        <f t="shared" si="111"/>
        <v>5.5555555555555556E-4</v>
      </c>
      <c r="J1170">
        <f t="shared" si="112"/>
        <v>0.40087798482510306</v>
      </c>
      <c r="K1170">
        <f t="shared" si="113"/>
        <v>1.6306401186959101</v>
      </c>
    </row>
    <row r="1171" spans="1:11" x14ac:dyDescent="0.35">
      <c r="A1171" s="5" t="s">
        <v>8</v>
      </c>
      <c r="B1171" s="5">
        <v>1168</v>
      </c>
      <c r="C1171" s="5">
        <v>146</v>
      </c>
      <c r="D1171" s="16">
        <v>74.3</v>
      </c>
      <c r="E1171" s="1">
        <f t="shared" si="108"/>
        <v>0.44444444444444481</v>
      </c>
      <c r="F1171">
        <f t="shared" si="109"/>
        <v>322.11460193518531</v>
      </c>
      <c r="G1171">
        <f t="shared" si="110"/>
        <v>691.53288138759206</v>
      </c>
      <c r="I1171">
        <f t="shared" si="111"/>
        <v>5.5555555555555556E-4</v>
      </c>
      <c r="J1171">
        <f t="shared" si="112"/>
        <v>0.44738139157664625</v>
      </c>
      <c r="K1171">
        <f t="shared" si="113"/>
        <v>1.6596789153302209</v>
      </c>
    </row>
    <row r="1172" spans="1:11" x14ac:dyDescent="0.35">
      <c r="A1172" s="5" t="s">
        <v>8</v>
      </c>
      <c r="B1172" s="5">
        <v>1169</v>
      </c>
      <c r="C1172" s="5">
        <v>147</v>
      </c>
      <c r="D1172" s="16">
        <v>76.2</v>
      </c>
      <c r="E1172" s="1">
        <f t="shared" si="108"/>
        <v>0.50000000000000122</v>
      </c>
      <c r="F1172">
        <f t="shared" si="109"/>
        <v>350.15942966666717</v>
      </c>
      <c r="G1172">
        <f t="shared" si="110"/>
        <v>709.21676395335828</v>
      </c>
      <c r="I1172">
        <f t="shared" si="111"/>
        <v>5.5555555555555556E-4</v>
      </c>
      <c r="J1172">
        <f t="shared" si="112"/>
        <v>0.48633254120370439</v>
      </c>
      <c r="K1172">
        <f t="shared" si="113"/>
        <v>1.7021202334880601</v>
      </c>
    </row>
    <row r="1173" spans="1:11" x14ac:dyDescent="0.35">
      <c r="A1173" s="5" t="s">
        <v>8</v>
      </c>
      <c r="B1173" s="5">
        <v>1170</v>
      </c>
      <c r="C1173" s="5">
        <v>148</v>
      </c>
      <c r="D1173" s="16">
        <v>77.900000000000006</v>
      </c>
      <c r="E1173" s="1">
        <f t="shared" si="108"/>
        <v>0.45833333333333293</v>
      </c>
      <c r="F1173">
        <f t="shared" si="109"/>
        <v>333.64353593518496</v>
      </c>
      <c r="G1173">
        <f t="shared" si="110"/>
        <v>725.03918519641218</v>
      </c>
      <c r="I1173">
        <f t="shared" si="111"/>
        <v>5.5555555555555556E-4</v>
      </c>
      <c r="J1173">
        <f t="shared" si="112"/>
        <v>0.46339379990997909</v>
      </c>
      <c r="K1173">
        <f t="shared" si="113"/>
        <v>1.7400940444713893</v>
      </c>
    </row>
    <row r="1174" spans="1:11" x14ac:dyDescent="0.35">
      <c r="A1174" s="5" t="s">
        <v>8</v>
      </c>
      <c r="B1174" s="5">
        <v>1171</v>
      </c>
      <c r="C1174" s="5">
        <v>149</v>
      </c>
      <c r="D1174" s="16">
        <v>79.5</v>
      </c>
      <c r="E1174" s="1">
        <f t="shared" si="108"/>
        <v>0.43055555555555475</v>
      </c>
      <c r="F1174">
        <f t="shared" si="109"/>
        <v>323.36491874999956</v>
      </c>
      <c r="G1174">
        <f t="shared" si="110"/>
        <v>739.93087577811002</v>
      </c>
      <c r="I1174">
        <f t="shared" si="111"/>
        <v>5.5555555555555556E-4</v>
      </c>
      <c r="J1174">
        <f t="shared" si="112"/>
        <v>0.44911794270833272</v>
      </c>
      <c r="K1174">
        <f t="shared" si="113"/>
        <v>1.7758341018674639</v>
      </c>
    </row>
    <row r="1175" spans="1:11" x14ac:dyDescent="0.35">
      <c r="A1175" s="5" t="s">
        <v>8</v>
      </c>
      <c r="B1175" s="5">
        <v>1172</v>
      </c>
      <c r="C1175" s="5">
        <v>150</v>
      </c>
      <c r="D1175" s="16">
        <v>81</v>
      </c>
      <c r="E1175" s="1">
        <f t="shared" si="108"/>
        <v>0.38888888888888851</v>
      </c>
      <c r="F1175">
        <f t="shared" si="109"/>
        <v>306.64780833333316</v>
      </c>
      <c r="G1175">
        <f t="shared" si="110"/>
        <v>753.8918356984517</v>
      </c>
      <c r="I1175">
        <f t="shared" si="111"/>
        <v>5.5555555555555556E-4</v>
      </c>
      <c r="J1175">
        <f t="shared" si="112"/>
        <v>0.42589973379629603</v>
      </c>
      <c r="K1175">
        <f t="shared" si="113"/>
        <v>1.8093404056762841</v>
      </c>
    </row>
    <row r="1176" spans="1:11" x14ac:dyDescent="0.35">
      <c r="A1176" s="5" t="s">
        <v>8</v>
      </c>
      <c r="B1176" s="5">
        <v>1173</v>
      </c>
      <c r="C1176" s="5">
        <v>151</v>
      </c>
      <c r="D1176" s="16">
        <v>82.3</v>
      </c>
      <c r="E1176" s="1">
        <f t="shared" si="108"/>
        <v>0.34722222222222221</v>
      </c>
      <c r="F1176">
        <f t="shared" si="109"/>
        <v>289.66082860185179</v>
      </c>
      <c r="G1176">
        <f t="shared" si="110"/>
        <v>765.99133429608116</v>
      </c>
      <c r="I1176">
        <f t="shared" si="111"/>
        <v>5.5555555555555556E-4</v>
      </c>
      <c r="J1176">
        <f t="shared" si="112"/>
        <v>0.40230670639146082</v>
      </c>
      <c r="K1176">
        <f t="shared" si="113"/>
        <v>1.8383792023105949</v>
      </c>
    </row>
    <row r="1177" spans="1:11" x14ac:dyDescent="0.35">
      <c r="A1177" s="5" t="s">
        <v>8</v>
      </c>
      <c r="B1177" s="5">
        <v>1174</v>
      </c>
      <c r="C1177" s="5">
        <v>152</v>
      </c>
      <c r="D1177" s="16">
        <v>83.5</v>
      </c>
      <c r="E1177" s="1">
        <f t="shared" si="108"/>
        <v>0.31944444444444403</v>
      </c>
      <c r="F1177">
        <f t="shared" si="109"/>
        <v>278.88078171296274</v>
      </c>
      <c r="G1177">
        <f t="shared" si="110"/>
        <v>777.16010223235446</v>
      </c>
      <c r="I1177">
        <f t="shared" si="111"/>
        <v>5.5555555555555556E-4</v>
      </c>
      <c r="J1177">
        <f t="shared" si="112"/>
        <v>0.38733441904578159</v>
      </c>
      <c r="K1177">
        <f t="shared" si="113"/>
        <v>1.8651842453576506</v>
      </c>
    </row>
    <row r="1178" spans="1:11" x14ac:dyDescent="0.35">
      <c r="A1178" s="5" t="s">
        <v>8</v>
      </c>
      <c r="B1178" s="5">
        <v>1175</v>
      </c>
      <c r="C1178" s="5">
        <v>153</v>
      </c>
      <c r="D1178" s="16">
        <v>84.6</v>
      </c>
      <c r="E1178" s="1">
        <f t="shared" si="108"/>
        <v>0.27777777777777779</v>
      </c>
      <c r="F1178">
        <f t="shared" si="109"/>
        <v>261.63417366666664</v>
      </c>
      <c r="G1178">
        <f t="shared" si="110"/>
        <v>787.39813950727171</v>
      </c>
      <c r="I1178">
        <f t="shared" si="111"/>
        <v>5.5555555555555556E-4</v>
      </c>
      <c r="J1178">
        <f t="shared" si="112"/>
        <v>0.36338079675925922</v>
      </c>
      <c r="K1178">
        <f t="shared" si="113"/>
        <v>1.8897555348174522</v>
      </c>
    </row>
    <row r="1179" spans="1:11" x14ac:dyDescent="0.35">
      <c r="A1179" s="5" t="s">
        <v>8</v>
      </c>
      <c r="B1179" s="5">
        <v>1176</v>
      </c>
      <c r="C1179" s="5">
        <v>154</v>
      </c>
      <c r="D1179" s="16">
        <v>85.5</v>
      </c>
      <c r="E1179" s="1">
        <f t="shared" si="108"/>
        <v>0.23611111111111149</v>
      </c>
      <c r="F1179">
        <f t="shared" si="109"/>
        <v>244.08583541666681</v>
      </c>
      <c r="G1179">
        <f t="shared" si="110"/>
        <v>795.77471545947674</v>
      </c>
      <c r="I1179">
        <f t="shared" si="111"/>
        <v>5.5555555555555556E-4</v>
      </c>
      <c r="J1179">
        <f t="shared" si="112"/>
        <v>0.33900810474537058</v>
      </c>
      <c r="K1179">
        <f t="shared" si="113"/>
        <v>1.9098593171027443</v>
      </c>
    </row>
    <row r="1180" spans="1:11" x14ac:dyDescent="0.35">
      <c r="A1180" s="5" t="s">
        <v>8</v>
      </c>
      <c r="B1180" s="5">
        <v>1177</v>
      </c>
      <c r="C1180" s="5">
        <v>155</v>
      </c>
      <c r="D1180" s="16">
        <v>86.3</v>
      </c>
      <c r="E1180" s="1">
        <f t="shared" si="108"/>
        <v>0.22222222222222143</v>
      </c>
      <c r="F1180">
        <f t="shared" si="109"/>
        <v>239.05576415740705</v>
      </c>
      <c r="G1180">
        <f t="shared" si="110"/>
        <v>803.22056075032572</v>
      </c>
      <c r="I1180">
        <f t="shared" si="111"/>
        <v>5.5555555555555556E-4</v>
      </c>
      <c r="J1180">
        <f t="shared" si="112"/>
        <v>0.33202189466306536</v>
      </c>
      <c r="K1180">
        <f t="shared" si="113"/>
        <v>1.9277293458007816</v>
      </c>
    </row>
    <row r="1181" spans="1:11" x14ac:dyDescent="0.35">
      <c r="A1181" s="5" t="s">
        <v>8</v>
      </c>
      <c r="B1181" s="5">
        <v>1178</v>
      </c>
      <c r="C1181" s="5">
        <v>156</v>
      </c>
      <c r="D1181" s="16">
        <v>87.1</v>
      </c>
      <c r="E1181" s="1">
        <f t="shared" si="108"/>
        <v>0.24999999999999961</v>
      </c>
      <c r="F1181">
        <f t="shared" si="109"/>
        <v>253.03783037962944</v>
      </c>
      <c r="G1181">
        <f t="shared" si="110"/>
        <v>810.66640604117458</v>
      </c>
      <c r="I1181">
        <f t="shared" si="111"/>
        <v>5.5555555555555556E-4</v>
      </c>
      <c r="J1181">
        <f t="shared" si="112"/>
        <v>0.35144143108281867</v>
      </c>
      <c r="K1181">
        <f t="shared" si="113"/>
        <v>1.9455993744988191</v>
      </c>
    </row>
    <row r="1182" spans="1:11" x14ac:dyDescent="0.35">
      <c r="A1182" s="5" t="s">
        <v>8</v>
      </c>
      <c r="B1182" s="5">
        <v>1179</v>
      </c>
      <c r="C1182" s="5">
        <v>157</v>
      </c>
      <c r="D1182" s="16">
        <v>88.1</v>
      </c>
      <c r="E1182" s="1">
        <f t="shared" si="108"/>
        <v>0.27777777777777779</v>
      </c>
      <c r="F1182">
        <f t="shared" si="109"/>
        <v>267.36581482407405</v>
      </c>
      <c r="G1182">
        <f t="shared" si="110"/>
        <v>819.97371265473566</v>
      </c>
      <c r="I1182">
        <f t="shared" si="111"/>
        <v>5.5555555555555556E-4</v>
      </c>
      <c r="J1182">
        <f t="shared" si="112"/>
        <v>0.37134140947788064</v>
      </c>
      <c r="K1182">
        <f t="shared" si="113"/>
        <v>1.9679369103713655</v>
      </c>
    </row>
    <row r="1183" spans="1:11" x14ac:dyDescent="0.35">
      <c r="A1183" s="5" t="s">
        <v>8</v>
      </c>
      <c r="B1183" s="5">
        <v>1180</v>
      </c>
      <c r="C1183" s="5">
        <v>158</v>
      </c>
      <c r="D1183" s="16">
        <v>89.1</v>
      </c>
      <c r="E1183" s="1">
        <f t="shared" si="108"/>
        <v>0.27777777777777779</v>
      </c>
      <c r="F1183">
        <f t="shared" si="109"/>
        <v>269.04609741666661</v>
      </c>
      <c r="G1183">
        <f t="shared" si="110"/>
        <v>829.28101926829686</v>
      </c>
      <c r="I1183">
        <f t="shared" si="111"/>
        <v>5.5555555555555556E-4</v>
      </c>
      <c r="J1183">
        <f t="shared" si="112"/>
        <v>0.37367513530092583</v>
      </c>
      <c r="K1183">
        <f t="shared" si="113"/>
        <v>1.9902744462439126</v>
      </c>
    </row>
    <row r="1184" spans="1:11" x14ac:dyDescent="0.35">
      <c r="A1184" s="5" t="s">
        <v>8</v>
      </c>
      <c r="B1184" s="5">
        <v>1181</v>
      </c>
      <c r="C1184" s="5">
        <v>159</v>
      </c>
      <c r="D1184" s="16">
        <v>90.1</v>
      </c>
      <c r="E1184" s="1">
        <f t="shared" si="108"/>
        <v>0.26388888888888967</v>
      </c>
      <c r="F1184">
        <f t="shared" si="109"/>
        <v>264.41201149074107</v>
      </c>
      <c r="G1184">
        <f t="shared" si="110"/>
        <v>838.58832588185794</v>
      </c>
      <c r="I1184">
        <f t="shared" si="111"/>
        <v>5.5555555555555556E-4</v>
      </c>
      <c r="J1184">
        <f t="shared" si="112"/>
        <v>0.3672389048482515</v>
      </c>
      <c r="K1184">
        <f t="shared" si="113"/>
        <v>2.012611982116459</v>
      </c>
    </row>
    <row r="1185" spans="1:11" x14ac:dyDescent="0.35">
      <c r="A1185" s="5" t="s">
        <v>8</v>
      </c>
      <c r="B1185" s="5">
        <v>1182</v>
      </c>
      <c r="C1185" s="5">
        <v>160</v>
      </c>
      <c r="D1185" s="16">
        <v>91</v>
      </c>
      <c r="E1185" s="1">
        <f t="shared" si="108"/>
        <v>0.2222222222222234</v>
      </c>
      <c r="F1185">
        <f t="shared" si="109"/>
        <v>246.95754907407459</v>
      </c>
      <c r="G1185">
        <f t="shared" si="110"/>
        <v>846.96490183406297</v>
      </c>
      <c r="I1185">
        <f t="shared" si="111"/>
        <v>5.5555555555555556E-4</v>
      </c>
      <c r="J1185">
        <f t="shared" si="112"/>
        <v>0.34299659593621473</v>
      </c>
      <c r="K1185">
        <f t="shared" si="113"/>
        <v>2.0327157644017513</v>
      </c>
    </row>
    <row r="1186" spans="1:11" x14ac:dyDescent="0.35">
      <c r="A1186" s="5" t="s">
        <v>8</v>
      </c>
      <c r="B1186" s="5">
        <v>1183</v>
      </c>
      <c r="C1186" s="5">
        <v>161</v>
      </c>
      <c r="D1186" s="16">
        <v>91.7</v>
      </c>
      <c r="E1186" s="1">
        <f t="shared" si="108"/>
        <v>0.18055555555555516</v>
      </c>
      <c r="F1186">
        <f t="shared" si="109"/>
        <v>229.17025415740721</v>
      </c>
      <c r="G1186">
        <f t="shared" si="110"/>
        <v>853.48001646355578</v>
      </c>
      <c r="I1186">
        <f t="shared" si="111"/>
        <v>5.5555555555555556E-4</v>
      </c>
      <c r="J1186">
        <f t="shared" si="112"/>
        <v>0.31829201966306558</v>
      </c>
      <c r="K1186">
        <f t="shared" si="113"/>
        <v>2.0483520395125341</v>
      </c>
    </row>
    <row r="1187" spans="1:11" x14ac:dyDescent="0.35">
      <c r="A1187" s="5" t="s">
        <v>8</v>
      </c>
      <c r="B1187" s="5">
        <v>1184</v>
      </c>
      <c r="C1187" s="5">
        <v>162</v>
      </c>
      <c r="D1187" s="16">
        <v>92.3</v>
      </c>
      <c r="E1187" s="1">
        <f t="shared" si="108"/>
        <v>0.15277777777777699</v>
      </c>
      <c r="F1187">
        <f t="shared" si="109"/>
        <v>217.5504452685181</v>
      </c>
      <c r="G1187">
        <f t="shared" si="110"/>
        <v>859.06440043169243</v>
      </c>
      <c r="I1187">
        <f t="shared" si="111"/>
        <v>5.5555555555555556E-4</v>
      </c>
      <c r="J1187">
        <f t="shared" si="112"/>
        <v>0.30215339620627513</v>
      </c>
      <c r="K1187">
        <f t="shared" si="113"/>
        <v>2.0617545610360617</v>
      </c>
    </row>
    <row r="1188" spans="1:11" x14ac:dyDescent="0.35">
      <c r="A1188" s="5" t="s">
        <v>8</v>
      </c>
      <c r="B1188" s="5">
        <v>1185</v>
      </c>
      <c r="C1188" s="5">
        <v>163</v>
      </c>
      <c r="D1188" s="16">
        <v>92.8</v>
      </c>
      <c r="E1188" s="1">
        <f t="shared" si="108"/>
        <v>0.11111111111111072</v>
      </c>
      <c r="F1188">
        <f t="shared" si="109"/>
        <v>199.42804207407386</v>
      </c>
      <c r="G1188">
        <f t="shared" si="110"/>
        <v>863.71805373847303</v>
      </c>
      <c r="I1188">
        <f t="shared" si="111"/>
        <v>5.5555555555555556E-4</v>
      </c>
      <c r="J1188">
        <f t="shared" si="112"/>
        <v>0.276983391769547</v>
      </c>
      <c r="K1188">
        <f t="shared" si="113"/>
        <v>2.072923328972335</v>
      </c>
    </row>
    <row r="1189" spans="1:11" x14ac:dyDescent="0.35">
      <c r="A1189" s="5" t="s">
        <v>8</v>
      </c>
      <c r="B1189" s="5">
        <v>1186</v>
      </c>
      <c r="C1189" s="5">
        <v>164</v>
      </c>
      <c r="D1189" s="16">
        <v>93.1</v>
      </c>
      <c r="E1189" s="1">
        <f t="shared" si="108"/>
        <v>4.1666666666666269E-2</v>
      </c>
      <c r="F1189">
        <f t="shared" si="109"/>
        <v>168.29020926851831</v>
      </c>
      <c r="G1189">
        <f t="shared" si="110"/>
        <v>866.51024572254141</v>
      </c>
      <c r="I1189">
        <f t="shared" si="111"/>
        <v>5.5555555555555556E-4</v>
      </c>
      <c r="J1189">
        <f t="shared" si="112"/>
        <v>0.233736401761831</v>
      </c>
      <c r="K1189">
        <f t="shared" si="113"/>
        <v>2.0796245897340997</v>
      </c>
    </row>
    <row r="1190" spans="1:11" x14ac:dyDescent="0.35">
      <c r="A1190" s="5" t="s">
        <v>8</v>
      </c>
      <c r="B1190" s="5">
        <v>1187</v>
      </c>
      <c r="C1190" s="5">
        <v>165</v>
      </c>
      <c r="D1190" s="16">
        <v>93.1</v>
      </c>
      <c r="E1190" s="1">
        <f t="shared" si="108"/>
        <v>0</v>
      </c>
      <c r="F1190">
        <f t="shared" si="109"/>
        <v>149.29020926851848</v>
      </c>
      <c r="G1190">
        <f t="shared" si="110"/>
        <v>866.51024572254141</v>
      </c>
      <c r="I1190">
        <f t="shared" si="111"/>
        <v>5.5555555555555556E-4</v>
      </c>
      <c r="J1190">
        <f t="shared" si="112"/>
        <v>0.20734751287294234</v>
      </c>
      <c r="K1190">
        <f t="shared" si="113"/>
        <v>2.0796245897340997</v>
      </c>
    </row>
    <row r="1191" spans="1:11" x14ac:dyDescent="0.35">
      <c r="A1191" s="5" t="s">
        <v>8</v>
      </c>
      <c r="B1191" s="5">
        <v>1188</v>
      </c>
      <c r="C1191" s="5">
        <v>166</v>
      </c>
      <c r="D1191" s="16">
        <v>93.1</v>
      </c>
      <c r="E1191" s="1">
        <f t="shared" si="108"/>
        <v>0</v>
      </c>
      <c r="F1191">
        <f t="shared" si="109"/>
        <v>149.29020926851848</v>
      </c>
      <c r="G1191">
        <f t="shared" si="110"/>
        <v>866.51024572254141</v>
      </c>
      <c r="I1191">
        <f t="shared" si="111"/>
        <v>5.5555555555555556E-4</v>
      </c>
      <c r="J1191">
        <f t="shared" si="112"/>
        <v>0.20734751287294234</v>
      </c>
      <c r="K1191">
        <f t="shared" si="113"/>
        <v>2.0796245897340997</v>
      </c>
    </row>
    <row r="1192" spans="1:11" x14ac:dyDescent="0.35">
      <c r="A1192" s="5" t="s">
        <v>8</v>
      </c>
      <c r="B1192" s="5">
        <v>1189</v>
      </c>
      <c r="C1192" s="5">
        <v>167</v>
      </c>
      <c r="D1192" s="16">
        <v>93.1</v>
      </c>
      <c r="E1192" s="1">
        <f t="shared" si="108"/>
        <v>0</v>
      </c>
      <c r="F1192">
        <f t="shared" si="109"/>
        <v>149.29020926851848</v>
      </c>
      <c r="G1192">
        <f t="shared" si="110"/>
        <v>866.51024572254141</v>
      </c>
      <c r="I1192">
        <f t="shared" si="111"/>
        <v>5.5555555555555556E-4</v>
      </c>
      <c r="J1192">
        <f t="shared" si="112"/>
        <v>0.20734751287294234</v>
      </c>
      <c r="K1192">
        <f t="shared" si="113"/>
        <v>2.0796245897340997</v>
      </c>
    </row>
    <row r="1193" spans="1:11" x14ac:dyDescent="0.35">
      <c r="A1193" s="5" t="s">
        <v>8</v>
      </c>
      <c r="B1193" s="5">
        <v>1190</v>
      </c>
      <c r="C1193" s="5">
        <v>168</v>
      </c>
      <c r="D1193" s="16">
        <v>93.1</v>
      </c>
      <c r="E1193" s="1">
        <f t="shared" si="108"/>
        <v>0</v>
      </c>
      <c r="F1193">
        <f t="shared" si="109"/>
        <v>149.29020926851848</v>
      </c>
      <c r="G1193">
        <f t="shared" si="110"/>
        <v>866.51024572254141</v>
      </c>
      <c r="I1193">
        <f t="shared" si="111"/>
        <v>5.5555555555555556E-4</v>
      </c>
      <c r="J1193">
        <f t="shared" si="112"/>
        <v>0.20734751287294234</v>
      </c>
      <c r="K1193">
        <f t="shared" si="113"/>
        <v>2.0796245897340997</v>
      </c>
    </row>
    <row r="1194" spans="1:11" x14ac:dyDescent="0.35">
      <c r="A1194" s="5" t="s">
        <v>8</v>
      </c>
      <c r="B1194" s="5">
        <v>1191</v>
      </c>
      <c r="C1194" s="5">
        <v>169</v>
      </c>
      <c r="D1194" s="16">
        <v>93.1</v>
      </c>
      <c r="E1194" s="1">
        <f t="shared" si="108"/>
        <v>0</v>
      </c>
      <c r="F1194">
        <f t="shared" si="109"/>
        <v>149.29020926851848</v>
      </c>
      <c r="G1194">
        <f t="shared" si="110"/>
        <v>866.51024572254141</v>
      </c>
      <c r="I1194">
        <f t="shared" si="111"/>
        <v>5.5555555555555556E-4</v>
      </c>
      <c r="J1194">
        <f t="shared" si="112"/>
        <v>0.20734751287294234</v>
      </c>
      <c r="K1194">
        <f t="shared" si="113"/>
        <v>2.0796245897340997</v>
      </c>
    </row>
    <row r="1195" spans="1:11" x14ac:dyDescent="0.35">
      <c r="A1195" s="5" t="s">
        <v>8</v>
      </c>
      <c r="B1195" s="5">
        <v>1192</v>
      </c>
      <c r="C1195" s="5">
        <v>170</v>
      </c>
      <c r="D1195" s="16">
        <v>93.1</v>
      </c>
      <c r="E1195" s="1">
        <f t="shared" si="108"/>
        <v>0</v>
      </c>
      <c r="F1195">
        <f t="shared" si="109"/>
        <v>149.29020926851848</v>
      </c>
      <c r="G1195">
        <f t="shared" si="110"/>
        <v>866.51024572254141</v>
      </c>
      <c r="I1195">
        <f t="shared" si="111"/>
        <v>5.5555555555555556E-4</v>
      </c>
      <c r="J1195">
        <f t="shared" si="112"/>
        <v>0.20734751287294234</v>
      </c>
      <c r="K1195">
        <f t="shared" si="113"/>
        <v>2.0796245897340997</v>
      </c>
    </row>
    <row r="1196" spans="1:11" x14ac:dyDescent="0.35">
      <c r="A1196" s="5" t="s">
        <v>8</v>
      </c>
      <c r="B1196" s="5">
        <v>1193</v>
      </c>
      <c r="C1196" s="5">
        <v>171</v>
      </c>
      <c r="D1196" s="16">
        <v>93.1</v>
      </c>
      <c r="E1196" s="1">
        <f t="shared" si="108"/>
        <v>0</v>
      </c>
      <c r="F1196">
        <f t="shared" si="109"/>
        <v>149.29020926851848</v>
      </c>
      <c r="G1196">
        <f t="shared" si="110"/>
        <v>866.51024572254141</v>
      </c>
      <c r="I1196">
        <f t="shared" si="111"/>
        <v>5.5555555555555556E-4</v>
      </c>
      <c r="J1196">
        <f t="shared" si="112"/>
        <v>0.20734751287294234</v>
      </c>
      <c r="K1196">
        <f t="shared" si="113"/>
        <v>2.0796245897340997</v>
      </c>
    </row>
    <row r="1197" spans="1:11" x14ac:dyDescent="0.35">
      <c r="A1197" s="5" t="s">
        <v>8</v>
      </c>
      <c r="B1197" s="5">
        <v>1194</v>
      </c>
      <c r="C1197" s="5">
        <v>172</v>
      </c>
      <c r="D1197" s="16">
        <v>93.1</v>
      </c>
      <c r="E1197" s="1">
        <f t="shared" si="108"/>
        <v>0</v>
      </c>
      <c r="F1197">
        <f t="shared" si="109"/>
        <v>149.29020926851848</v>
      </c>
      <c r="G1197">
        <f t="shared" si="110"/>
        <v>866.51024572254141</v>
      </c>
      <c r="I1197">
        <f t="shared" si="111"/>
        <v>5.5555555555555556E-4</v>
      </c>
      <c r="J1197">
        <f t="shared" si="112"/>
        <v>0.20734751287294234</v>
      </c>
      <c r="K1197">
        <f t="shared" si="113"/>
        <v>2.0796245897340997</v>
      </c>
    </row>
    <row r="1198" spans="1:11" x14ac:dyDescent="0.35">
      <c r="A1198" s="5" t="s">
        <v>8</v>
      </c>
      <c r="B1198" s="5">
        <v>1195</v>
      </c>
      <c r="C1198" s="5">
        <v>173</v>
      </c>
      <c r="D1198" s="16">
        <v>93.1</v>
      </c>
      <c r="E1198" s="1">
        <f t="shared" si="108"/>
        <v>1.3888888888890073E-2</v>
      </c>
      <c r="F1198">
        <f t="shared" si="109"/>
        <v>155.62354260185236</v>
      </c>
      <c r="G1198">
        <f t="shared" si="110"/>
        <v>866.51024572254141</v>
      </c>
      <c r="I1198">
        <f t="shared" si="111"/>
        <v>5.5555555555555556E-4</v>
      </c>
      <c r="J1198">
        <f t="shared" si="112"/>
        <v>0.21614380916923939</v>
      </c>
      <c r="K1198">
        <f t="shared" si="113"/>
        <v>2.0796245897340997</v>
      </c>
    </row>
    <row r="1199" spans="1:11" x14ac:dyDescent="0.35">
      <c r="A1199" s="5" t="s">
        <v>8</v>
      </c>
      <c r="B1199" s="5">
        <v>1196</v>
      </c>
      <c r="C1199" s="5">
        <v>174</v>
      </c>
      <c r="D1199" s="16">
        <v>93.2</v>
      </c>
      <c r="E1199" s="1">
        <f t="shared" si="108"/>
        <v>1.3888888888890073E-2</v>
      </c>
      <c r="F1199">
        <f t="shared" si="109"/>
        <v>155.8001998518524</v>
      </c>
      <c r="G1199">
        <f t="shared" si="110"/>
        <v>867.44097638389746</v>
      </c>
      <c r="I1199">
        <f t="shared" si="111"/>
        <v>5.5555555555555556E-4</v>
      </c>
      <c r="J1199">
        <f t="shared" si="112"/>
        <v>0.21638916646090611</v>
      </c>
      <c r="K1199">
        <f t="shared" si="113"/>
        <v>2.081858343321354</v>
      </c>
    </row>
    <row r="1200" spans="1:11" x14ac:dyDescent="0.35">
      <c r="A1200" s="5" t="s">
        <v>8</v>
      </c>
      <c r="B1200" s="5">
        <v>1197</v>
      </c>
      <c r="C1200" s="5">
        <v>175</v>
      </c>
      <c r="D1200" s="16">
        <v>93.2</v>
      </c>
      <c r="E1200" s="1">
        <f t="shared" si="108"/>
        <v>1.3888888888888099E-2</v>
      </c>
      <c r="F1200">
        <f t="shared" si="109"/>
        <v>155.80019985185149</v>
      </c>
      <c r="G1200">
        <f t="shared" si="110"/>
        <v>867.44097638389746</v>
      </c>
      <c r="I1200">
        <f t="shared" si="111"/>
        <v>5.5555555555555556E-4</v>
      </c>
      <c r="J1200">
        <f t="shared" si="112"/>
        <v>0.21638916646090484</v>
      </c>
      <c r="K1200">
        <f t="shared" si="113"/>
        <v>2.081858343321354</v>
      </c>
    </row>
    <row r="1201" spans="1:11" x14ac:dyDescent="0.35">
      <c r="A1201" s="5" t="s">
        <v>8</v>
      </c>
      <c r="B1201" s="5">
        <v>1198</v>
      </c>
      <c r="C1201" s="5">
        <v>176</v>
      </c>
      <c r="D1201" s="16">
        <v>93.3</v>
      </c>
      <c r="E1201" s="1">
        <f t="shared" si="108"/>
        <v>6.9444444444444448E-2</v>
      </c>
      <c r="F1201">
        <f t="shared" si="109"/>
        <v>181.31038008333331</v>
      </c>
      <c r="G1201">
        <f t="shared" si="110"/>
        <v>868.37170704525363</v>
      </c>
      <c r="I1201">
        <f t="shared" si="111"/>
        <v>5.5555555555555556E-4</v>
      </c>
      <c r="J1201">
        <f t="shared" si="112"/>
        <v>0.25181997233796294</v>
      </c>
      <c r="K1201">
        <f t="shared" si="113"/>
        <v>2.0840920969086087</v>
      </c>
    </row>
    <row r="1202" spans="1:11" x14ac:dyDescent="0.35">
      <c r="A1202" s="5" t="s">
        <v>8</v>
      </c>
      <c r="B1202" s="5">
        <v>1199</v>
      </c>
      <c r="C1202" s="5">
        <v>177</v>
      </c>
      <c r="D1202" s="16">
        <v>93.7</v>
      </c>
      <c r="E1202" s="1">
        <f t="shared" si="108"/>
        <v>0.12500000000000078</v>
      </c>
      <c r="F1202">
        <f t="shared" si="109"/>
        <v>207.35299749074107</v>
      </c>
      <c r="G1202">
        <f t="shared" si="110"/>
        <v>872.09462969067806</v>
      </c>
      <c r="I1202">
        <f t="shared" si="111"/>
        <v>5.5555555555555556E-4</v>
      </c>
      <c r="J1202">
        <f t="shared" si="112"/>
        <v>0.28799027429269591</v>
      </c>
      <c r="K1202">
        <f t="shared" si="113"/>
        <v>2.0930271112576273</v>
      </c>
    </row>
    <row r="1203" spans="1:11" x14ac:dyDescent="0.35">
      <c r="A1203" s="5" t="s">
        <v>8</v>
      </c>
      <c r="B1203" s="5">
        <v>1200</v>
      </c>
      <c r="C1203" s="5">
        <v>178</v>
      </c>
      <c r="D1203" s="16">
        <v>94.2</v>
      </c>
      <c r="E1203" s="1">
        <f t="shared" si="108"/>
        <v>0.18055555555555516</v>
      </c>
      <c r="F1203">
        <f t="shared" si="109"/>
        <v>233.5772029999998</v>
      </c>
      <c r="G1203">
        <f t="shared" si="110"/>
        <v>876.74828299745866</v>
      </c>
      <c r="I1203">
        <f t="shared" si="111"/>
        <v>5.5555555555555556E-4</v>
      </c>
      <c r="J1203">
        <f t="shared" si="112"/>
        <v>0.32441278194444417</v>
      </c>
      <c r="K1203">
        <f t="shared" si="113"/>
        <v>2.1041958791939006</v>
      </c>
    </row>
    <row r="1204" spans="1:11" x14ac:dyDescent="0.35">
      <c r="A1204" s="5" t="s">
        <v>8</v>
      </c>
      <c r="B1204" s="5">
        <v>1201</v>
      </c>
      <c r="C1204" s="5">
        <v>179</v>
      </c>
      <c r="D1204" s="16">
        <v>95</v>
      </c>
      <c r="E1204" s="1">
        <f t="shared" si="108"/>
        <v>0.22222222222222143</v>
      </c>
      <c r="F1204">
        <f t="shared" si="109"/>
        <v>254.01246018518484</v>
      </c>
      <c r="G1204">
        <f t="shared" si="110"/>
        <v>884.19412828830752</v>
      </c>
      <c r="I1204">
        <f t="shared" si="111"/>
        <v>5.5555555555555556E-4</v>
      </c>
      <c r="J1204">
        <f t="shared" si="112"/>
        <v>0.35279508359053452</v>
      </c>
      <c r="K1204">
        <f t="shared" si="113"/>
        <v>2.1220659078919382</v>
      </c>
    </row>
    <row r="1205" spans="1:11" x14ac:dyDescent="0.35">
      <c r="A1205" s="5" t="s">
        <v>8</v>
      </c>
      <c r="B1205" s="5">
        <v>1202</v>
      </c>
      <c r="C1205" s="5">
        <v>180</v>
      </c>
      <c r="D1205" s="16">
        <v>95.8</v>
      </c>
      <c r="E1205" s="1">
        <f t="shared" si="108"/>
        <v>0.19444444444444522</v>
      </c>
      <c r="F1205">
        <f t="shared" si="109"/>
        <v>242.79318818518547</v>
      </c>
      <c r="G1205">
        <f t="shared" si="110"/>
        <v>891.63997357915639</v>
      </c>
      <c r="I1205">
        <f t="shared" si="111"/>
        <v>5.5555555555555556E-4</v>
      </c>
      <c r="J1205">
        <f t="shared" si="112"/>
        <v>0.33721276136831313</v>
      </c>
      <c r="K1205">
        <f t="shared" si="113"/>
        <v>2.1399359365899753</v>
      </c>
    </row>
    <row r="1206" spans="1:11" x14ac:dyDescent="0.35">
      <c r="A1206" s="5" t="s">
        <v>8</v>
      </c>
      <c r="B1206" s="5">
        <v>1203</v>
      </c>
      <c r="C1206" s="5">
        <v>181</v>
      </c>
      <c r="D1206" s="16">
        <v>96.4</v>
      </c>
      <c r="E1206" s="1">
        <f t="shared" si="108"/>
        <v>0.1388888888888889</v>
      </c>
      <c r="F1206">
        <f t="shared" si="109"/>
        <v>218.55336607407406</v>
      </c>
      <c r="G1206">
        <f t="shared" si="110"/>
        <v>897.22435754729304</v>
      </c>
      <c r="I1206">
        <f t="shared" si="111"/>
        <v>5.5555555555555556E-4</v>
      </c>
      <c r="J1206">
        <f t="shared" si="112"/>
        <v>0.30354634176954731</v>
      </c>
      <c r="K1206">
        <f t="shared" si="113"/>
        <v>2.1533384581135033</v>
      </c>
    </row>
    <row r="1207" spans="1:11" x14ac:dyDescent="0.35">
      <c r="A1207" s="5" t="s">
        <v>8</v>
      </c>
      <c r="B1207" s="5">
        <v>1204</v>
      </c>
      <c r="C1207" s="5">
        <v>182</v>
      </c>
      <c r="D1207" s="16">
        <v>96.8</v>
      </c>
      <c r="E1207" s="1">
        <f t="shared" si="108"/>
        <v>8.3333333333332538E-2</v>
      </c>
      <c r="F1207">
        <f t="shared" si="109"/>
        <v>193.9528331851848</v>
      </c>
      <c r="G1207">
        <f t="shared" si="110"/>
        <v>900.94728019271759</v>
      </c>
      <c r="I1207">
        <f t="shared" si="111"/>
        <v>5.5555555555555556E-4</v>
      </c>
      <c r="J1207">
        <f t="shared" si="112"/>
        <v>0.26937893497942333</v>
      </c>
      <c r="K1207">
        <f t="shared" si="113"/>
        <v>2.1622734724625223</v>
      </c>
    </row>
    <row r="1208" spans="1:11" x14ac:dyDescent="0.35">
      <c r="A1208" s="5" t="s">
        <v>8</v>
      </c>
      <c r="B1208" s="5">
        <v>1205</v>
      </c>
      <c r="C1208" s="5">
        <v>183</v>
      </c>
      <c r="D1208" s="16">
        <v>97</v>
      </c>
      <c r="E1208" s="1">
        <f t="shared" si="108"/>
        <v>4.1666666666666269E-2</v>
      </c>
      <c r="F1208">
        <f t="shared" si="109"/>
        <v>175.32037129629612</v>
      </c>
      <c r="G1208">
        <f t="shared" si="110"/>
        <v>902.8087415154298</v>
      </c>
      <c r="I1208">
        <f t="shared" si="111"/>
        <v>5.5555555555555556E-4</v>
      </c>
      <c r="J1208">
        <f t="shared" si="112"/>
        <v>0.24350051568930017</v>
      </c>
      <c r="K1208">
        <f t="shared" si="113"/>
        <v>2.1667409796370314</v>
      </c>
    </row>
    <row r="1209" spans="1:11" x14ac:dyDescent="0.35">
      <c r="A1209" s="5" t="s">
        <v>8</v>
      </c>
      <c r="B1209" s="5">
        <v>1206</v>
      </c>
      <c r="C1209" s="5">
        <v>184</v>
      </c>
      <c r="D1209" s="16">
        <v>97.1</v>
      </c>
      <c r="E1209" s="1">
        <f t="shared" si="108"/>
        <v>2.7777777777778172E-2</v>
      </c>
      <c r="F1209">
        <f t="shared" si="109"/>
        <v>169.17109149074093</v>
      </c>
      <c r="G1209">
        <f t="shared" si="110"/>
        <v>903.73947217678585</v>
      </c>
      <c r="I1209">
        <f t="shared" si="111"/>
        <v>5.5555555555555556E-4</v>
      </c>
      <c r="J1209">
        <f t="shared" si="112"/>
        <v>0.23495984929269575</v>
      </c>
      <c r="K1209">
        <f t="shared" si="113"/>
        <v>2.1689747332242861</v>
      </c>
    </row>
    <row r="1210" spans="1:11" x14ac:dyDescent="0.35">
      <c r="A1210" s="5" t="s">
        <v>8</v>
      </c>
      <c r="B1210" s="5">
        <v>1207</v>
      </c>
      <c r="C1210" s="5">
        <v>185</v>
      </c>
      <c r="D1210" s="16">
        <v>97.2</v>
      </c>
      <c r="E1210" s="1">
        <f t="shared" si="108"/>
        <v>2.7777777777778172E-2</v>
      </c>
      <c r="F1210">
        <f t="shared" si="109"/>
        <v>169.35533466666686</v>
      </c>
      <c r="G1210">
        <f t="shared" si="110"/>
        <v>904.67020283814202</v>
      </c>
      <c r="I1210">
        <f t="shared" si="111"/>
        <v>5.5555555555555556E-4</v>
      </c>
      <c r="J1210">
        <f t="shared" si="112"/>
        <v>0.23521574259259287</v>
      </c>
      <c r="K1210">
        <f t="shared" si="113"/>
        <v>2.1712084868115409</v>
      </c>
    </row>
    <row r="1211" spans="1:11" x14ac:dyDescent="0.35">
      <c r="A1211" s="5" t="s">
        <v>8</v>
      </c>
      <c r="B1211" s="5">
        <v>1208</v>
      </c>
      <c r="C1211" s="5">
        <v>186</v>
      </c>
      <c r="D1211" s="16">
        <v>97.3</v>
      </c>
      <c r="E1211" s="1">
        <f t="shared" si="108"/>
        <v>2.7777777777778172E-2</v>
      </c>
      <c r="F1211">
        <f t="shared" si="109"/>
        <v>169.5397674907409</v>
      </c>
      <c r="G1211">
        <f t="shared" si="110"/>
        <v>905.60093349949807</v>
      </c>
      <c r="I1211">
        <f t="shared" si="111"/>
        <v>5.5555555555555556E-4</v>
      </c>
      <c r="J1211">
        <f t="shared" si="112"/>
        <v>0.23547189929269569</v>
      </c>
      <c r="K1211">
        <f t="shared" si="113"/>
        <v>2.1734422403987956</v>
      </c>
    </row>
    <row r="1212" spans="1:11" x14ac:dyDescent="0.35">
      <c r="A1212" s="5" t="s">
        <v>8</v>
      </c>
      <c r="B1212" s="5">
        <v>1209</v>
      </c>
      <c r="C1212" s="5">
        <v>187</v>
      </c>
      <c r="D1212" s="16">
        <v>97.4</v>
      </c>
      <c r="E1212" s="1">
        <f t="shared" si="108"/>
        <v>1.3888888888890073E-2</v>
      </c>
      <c r="F1212">
        <f t="shared" si="109"/>
        <v>163.39105662963016</v>
      </c>
      <c r="G1212">
        <f t="shared" si="110"/>
        <v>906.53166416085423</v>
      </c>
      <c r="I1212">
        <f t="shared" si="111"/>
        <v>5.5555555555555556E-4</v>
      </c>
      <c r="J1212">
        <f t="shared" si="112"/>
        <v>0.22693202309670854</v>
      </c>
      <c r="K1212">
        <f t="shared" si="113"/>
        <v>2.1756759939860504</v>
      </c>
    </row>
    <row r="1213" spans="1:11" x14ac:dyDescent="0.35">
      <c r="A1213" s="5" t="s">
        <v>8</v>
      </c>
      <c r="B1213" s="5">
        <v>1210</v>
      </c>
      <c r="C1213" s="5">
        <v>188</v>
      </c>
      <c r="D1213" s="16">
        <v>97.4</v>
      </c>
      <c r="E1213" s="1">
        <f t="shared" si="108"/>
        <v>0</v>
      </c>
      <c r="F1213">
        <f t="shared" si="109"/>
        <v>157.0577232962963</v>
      </c>
      <c r="G1213">
        <f t="shared" si="110"/>
        <v>906.53166416085423</v>
      </c>
      <c r="I1213">
        <f t="shared" si="111"/>
        <v>5.5555555555555556E-4</v>
      </c>
      <c r="J1213">
        <f t="shared" si="112"/>
        <v>0.21813572680041154</v>
      </c>
      <c r="K1213">
        <f t="shared" si="113"/>
        <v>2.1756759939860504</v>
      </c>
    </row>
    <row r="1214" spans="1:11" x14ac:dyDescent="0.35">
      <c r="A1214" s="5" t="s">
        <v>8</v>
      </c>
      <c r="B1214" s="5">
        <v>1211</v>
      </c>
      <c r="C1214" s="5">
        <v>189</v>
      </c>
      <c r="D1214" s="16">
        <v>97.4</v>
      </c>
      <c r="E1214" s="1">
        <f t="shared" si="108"/>
        <v>0</v>
      </c>
      <c r="F1214">
        <f t="shared" si="109"/>
        <v>157.0577232962963</v>
      </c>
      <c r="G1214">
        <f t="shared" si="110"/>
        <v>906.53166416085423</v>
      </c>
      <c r="I1214">
        <f t="shared" si="111"/>
        <v>5.5555555555555556E-4</v>
      </c>
      <c r="J1214">
        <f t="shared" si="112"/>
        <v>0.21813572680041154</v>
      </c>
      <c r="K1214">
        <f t="shared" si="113"/>
        <v>2.1756759939860504</v>
      </c>
    </row>
    <row r="1215" spans="1:11" x14ac:dyDescent="0.35">
      <c r="A1215" s="5" t="s">
        <v>8</v>
      </c>
      <c r="B1215" s="5">
        <v>1212</v>
      </c>
      <c r="C1215" s="5">
        <v>190</v>
      </c>
      <c r="D1215" s="16">
        <v>97.4</v>
      </c>
      <c r="E1215" s="1">
        <f t="shared" si="108"/>
        <v>-1.3888888888890073E-2</v>
      </c>
      <c r="F1215">
        <f t="shared" si="109"/>
        <v>150.72438996296242</v>
      </c>
      <c r="G1215">
        <f t="shared" si="110"/>
        <v>906.53166416085423</v>
      </c>
      <c r="I1215">
        <f t="shared" si="111"/>
        <v>5.5555555555555556E-4</v>
      </c>
      <c r="J1215">
        <f t="shared" si="112"/>
        <v>0.20933943050411447</v>
      </c>
      <c r="K1215">
        <f t="shared" si="113"/>
        <v>2.1756759939860504</v>
      </c>
    </row>
    <row r="1216" spans="1:11" x14ac:dyDescent="0.35">
      <c r="A1216" s="5" t="s">
        <v>8</v>
      </c>
      <c r="B1216" s="5">
        <v>1213</v>
      </c>
      <c r="C1216" s="5">
        <v>191</v>
      </c>
      <c r="D1216" s="16">
        <v>97.3</v>
      </c>
      <c r="E1216" s="1">
        <f t="shared" si="108"/>
        <v>-1.3888888888890073E-2</v>
      </c>
      <c r="F1216">
        <f t="shared" si="109"/>
        <v>150.53976749074019</v>
      </c>
      <c r="G1216">
        <f t="shared" si="110"/>
        <v>905.60093349949807</v>
      </c>
      <c r="I1216">
        <f t="shared" si="111"/>
        <v>5.5555555555555556E-4</v>
      </c>
      <c r="J1216">
        <f t="shared" si="112"/>
        <v>0.20908301040380581</v>
      </c>
      <c r="K1216">
        <f t="shared" si="113"/>
        <v>2.1734422403987956</v>
      </c>
    </row>
    <row r="1217" spans="1:11" x14ac:dyDescent="0.35">
      <c r="A1217" s="5" t="s">
        <v>8</v>
      </c>
      <c r="B1217" s="5">
        <v>1214</v>
      </c>
      <c r="C1217" s="5">
        <v>192</v>
      </c>
      <c r="D1217" s="16">
        <v>97.3</v>
      </c>
      <c r="E1217" s="1">
        <f t="shared" si="108"/>
        <v>0</v>
      </c>
      <c r="F1217">
        <f t="shared" si="109"/>
        <v>156.87310082407404</v>
      </c>
      <c r="G1217">
        <f t="shared" si="110"/>
        <v>905.60093349949807</v>
      </c>
      <c r="I1217">
        <f t="shared" si="111"/>
        <v>5.5555555555555556E-4</v>
      </c>
      <c r="J1217">
        <f t="shared" si="112"/>
        <v>0.21787930670010283</v>
      </c>
      <c r="K1217">
        <f t="shared" si="113"/>
        <v>2.1734422403987956</v>
      </c>
    </row>
    <row r="1218" spans="1:11" x14ac:dyDescent="0.35">
      <c r="A1218" s="5" t="s">
        <v>8</v>
      </c>
      <c r="B1218" s="5">
        <v>1215</v>
      </c>
      <c r="C1218" s="5">
        <v>193</v>
      </c>
      <c r="D1218" s="16">
        <v>97.3</v>
      </c>
      <c r="E1218" s="1">
        <f t="shared" si="108"/>
        <v>0</v>
      </c>
      <c r="F1218">
        <f t="shared" si="109"/>
        <v>156.87310082407404</v>
      </c>
      <c r="G1218">
        <f t="shared" si="110"/>
        <v>905.60093349949807</v>
      </c>
      <c r="I1218">
        <f t="shared" si="111"/>
        <v>5.5555555555555556E-4</v>
      </c>
      <c r="J1218">
        <f t="shared" si="112"/>
        <v>0.21787930670010283</v>
      </c>
      <c r="K1218">
        <f t="shared" si="113"/>
        <v>2.1734422403987956</v>
      </c>
    </row>
    <row r="1219" spans="1:11" x14ac:dyDescent="0.35">
      <c r="A1219" s="5" t="s">
        <v>8</v>
      </c>
      <c r="B1219" s="5">
        <v>1216</v>
      </c>
      <c r="C1219" s="5">
        <v>194</v>
      </c>
      <c r="D1219" s="16">
        <v>97.3</v>
      </c>
      <c r="E1219" s="1">
        <f t="shared" si="108"/>
        <v>-1.3888888888888099E-2</v>
      </c>
      <c r="F1219">
        <f t="shared" si="109"/>
        <v>150.5397674907411</v>
      </c>
      <c r="G1219">
        <f t="shared" si="110"/>
        <v>905.60093349949807</v>
      </c>
      <c r="I1219">
        <f t="shared" si="111"/>
        <v>5.5555555555555556E-4</v>
      </c>
      <c r="J1219">
        <f t="shared" si="112"/>
        <v>0.20908301040380708</v>
      </c>
      <c r="K1219">
        <f t="shared" si="113"/>
        <v>2.1734422403987956</v>
      </c>
    </row>
    <row r="1220" spans="1:11" x14ac:dyDescent="0.35">
      <c r="A1220" s="5" t="s">
        <v>8</v>
      </c>
      <c r="B1220" s="5">
        <v>1217</v>
      </c>
      <c r="C1220" s="5">
        <v>195</v>
      </c>
      <c r="D1220" s="16">
        <v>97.2</v>
      </c>
      <c r="E1220" s="1">
        <f t="shared" si="108"/>
        <v>-2.7777777777778172E-2</v>
      </c>
      <c r="F1220">
        <f t="shared" si="109"/>
        <v>144.02200133333315</v>
      </c>
      <c r="G1220">
        <f t="shared" si="110"/>
        <v>904.67020283814202</v>
      </c>
      <c r="I1220">
        <f t="shared" si="111"/>
        <v>5.5555555555555556E-4</v>
      </c>
      <c r="J1220">
        <f t="shared" si="112"/>
        <v>0.20003055740740716</v>
      </c>
      <c r="K1220">
        <f t="shared" si="113"/>
        <v>2.1712084868115409</v>
      </c>
    </row>
    <row r="1221" spans="1:11" x14ac:dyDescent="0.35">
      <c r="A1221" s="5" t="s">
        <v>8</v>
      </c>
      <c r="B1221" s="5">
        <v>1218</v>
      </c>
      <c r="C1221" s="5">
        <v>196</v>
      </c>
      <c r="D1221" s="16">
        <v>97.1</v>
      </c>
      <c r="E1221" s="1">
        <f t="shared" ref="E1221:E1284" si="114">($D1222-$D1220)/2/3.6</f>
        <v>-2.7777777777778172E-2</v>
      </c>
      <c r="F1221">
        <f t="shared" ref="F1221:F1284" si="115">IF(D1221=0,0,MAX(0,0.285*(1600*E1221 + 1600*9.81*0.015 + 0.5*1.225*0.32*2.2*(D1221/3.6)^2)))</f>
        <v>143.83775815740722</v>
      </c>
      <c r="G1221">
        <f t="shared" ref="G1221:G1284" si="116">60*D1221/(2*PI()*3.6*0.285)</f>
        <v>903.73947217678585</v>
      </c>
      <c r="I1221">
        <f t="shared" ref="I1221:I1284" si="117">1/1800</f>
        <v>5.5555555555555556E-4</v>
      </c>
      <c r="J1221">
        <f t="shared" ref="J1221:J1284" si="118">F1221/(M$3*3.6)</f>
        <v>0.19977466410751002</v>
      </c>
      <c r="K1221">
        <f t="shared" ref="K1221:K1284" si="119">G1221*3.6/N$3</f>
        <v>2.1689747332242861</v>
      </c>
    </row>
    <row r="1222" spans="1:11" x14ac:dyDescent="0.35">
      <c r="A1222" s="5" t="s">
        <v>8</v>
      </c>
      <c r="B1222" s="5">
        <v>1219</v>
      </c>
      <c r="C1222" s="5">
        <v>197</v>
      </c>
      <c r="D1222" s="16">
        <v>97</v>
      </c>
      <c r="E1222" s="1">
        <f t="shared" si="114"/>
        <v>-2.7777777777776198E-2</v>
      </c>
      <c r="F1222">
        <f t="shared" si="115"/>
        <v>143.65370462963034</v>
      </c>
      <c r="G1222">
        <f t="shared" si="116"/>
        <v>902.8087415154298</v>
      </c>
      <c r="I1222">
        <f t="shared" si="117"/>
        <v>5.5555555555555556E-4</v>
      </c>
      <c r="J1222">
        <f t="shared" si="118"/>
        <v>0.19951903420781991</v>
      </c>
      <c r="K1222">
        <f t="shared" si="119"/>
        <v>2.1667409796370314</v>
      </c>
    </row>
    <row r="1223" spans="1:11" x14ac:dyDescent="0.35">
      <c r="A1223" s="5" t="s">
        <v>8</v>
      </c>
      <c r="B1223" s="5">
        <v>1220</v>
      </c>
      <c r="C1223" s="5">
        <v>198</v>
      </c>
      <c r="D1223" s="16">
        <v>96.9</v>
      </c>
      <c r="E1223" s="1">
        <f t="shared" si="114"/>
        <v>-4.1666666666666269E-2</v>
      </c>
      <c r="F1223">
        <f t="shared" si="115"/>
        <v>137.13650741666683</v>
      </c>
      <c r="G1223">
        <f t="shared" si="116"/>
        <v>901.87801085407364</v>
      </c>
      <c r="I1223">
        <f t="shared" si="117"/>
        <v>5.5555555555555556E-4</v>
      </c>
      <c r="J1223">
        <f t="shared" si="118"/>
        <v>0.19046737141203726</v>
      </c>
      <c r="K1223">
        <f t="shared" si="119"/>
        <v>2.1645072260497766</v>
      </c>
    </row>
    <row r="1224" spans="1:11" x14ac:dyDescent="0.35">
      <c r="A1224" s="5" t="s">
        <v>8</v>
      </c>
      <c r="B1224" s="5">
        <v>1221</v>
      </c>
      <c r="C1224" s="5">
        <v>199</v>
      </c>
      <c r="D1224" s="16">
        <v>96.7</v>
      </c>
      <c r="E1224" s="1">
        <f t="shared" si="114"/>
        <v>-6.9444444444444448E-2</v>
      </c>
      <c r="F1224">
        <f t="shared" si="115"/>
        <v>124.10268193518519</v>
      </c>
      <c r="G1224">
        <f t="shared" si="116"/>
        <v>900.01654953136142</v>
      </c>
      <c r="I1224">
        <f t="shared" si="117"/>
        <v>5.5555555555555556E-4</v>
      </c>
      <c r="J1224">
        <f t="shared" si="118"/>
        <v>0.17236483602109054</v>
      </c>
      <c r="K1224">
        <f t="shared" si="119"/>
        <v>2.1600397188752676</v>
      </c>
    </row>
    <row r="1225" spans="1:11" x14ac:dyDescent="0.35">
      <c r="A1225" s="5" t="s">
        <v>8</v>
      </c>
      <c r="B1225" s="5">
        <v>1222</v>
      </c>
      <c r="C1225" s="5">
        <v>200</v>
      </c>
      <c r="D1225" s="16">
        <v>96.4</v>
      </c>
      <c r="E1225" s="1">
        <f t="shared" si="114"/>
        <v>-8.3333333333334522E-2</v>
      </c>
      <c r="F1225">
        <f t="shared" si="115"/>
        <v>117.22003274074019</v>
      </c>
      <c r="G1225">
        <f t="shared" si="116"/>
        <v>897.22435754729304</v>
      </c>
      <c r="I1225">
        <f t="shared" si="117"/>
        <v>5.5555555555555556E-4</v>
      </c>
      <c r="J1225">
        <f t="shared" si="118"/>
        <v>0.16280560102880581</v>
      </c>
      <c r="K1225">
        <f t="shared" si="119"/>
        <v>2.1533384581135033</v>
      </c>
    </row>
    <row r="1226" spans="1:11" x14ac:dyDescent="0.35">
      <c r="A1226" s="5" t="s">
        <v>8</v>
      </c>
      <c r="B1226" s="5">
        <v>1223</v>
      </c>
      <c r="C1226" s="5">
        <v>201</v>
      </c>
      <c r="D1226" s="16">
        <v>96.1</v>
      </c>
      <c r="E1226" s="1">
        <f t="shared" si="114"/>
        <v>-9.7222222222222612E-2</v>
      </c>
      <c r="F1226">
        <f t="shared" si="115"/>
        <v>110.33909037962945</v>
      </c>
      <c r="G1226">
        <f t="shared" si="116"/>
        <v>894.43216556322477</v>
      </c>
      <c r="I1226">
        <f t="shared" si="117"/>
        <v>5.5555555555555556E-4</v>
      </c>
      <c r="J1226">
        <f t="shared" si="118"/>
        <v>0.15324873663837424</v>
      </c>
      <c r="K1226">
        <f t="shared" si="119"/>
        <v>2.1466371973517395</v>
      </c>
    </row>
    <row r="1227" spans="1:11" x14ac:dyDescent="0.35">
      <c r="A1227" s="5" t="s">
        <v>8</v>
      </c>
      <c r="B1227" s="5">
        <v>1224</v>
      </c>
      <c r="C1227" s="5">
        <v>202</v>
      </c>
      <c r="D1227" s="16">
        <v>95.7</v>
      </c>
      <c r="E1227" s="1">
        <f t="shared" si="114"/>
        <v>-8.3333333333332538E-2</v>
      </c>
      <c r="F1227">
        <f t="shared" si="115"/>
        <v>115.94493341666701</v>
      </c>
      <c r="G1227">
        <f t="shared" si="116"/>
        <v>890.70924291780034</v>
      </c>
      <c r="I1227">
        <f t="shared" si="117"/>
        <v>5.5555555555555556E-4</v>
      </c>
      <c r="J1227">
        <f t="shared" si="118"/>
        <v>0.16103462974537086</v>
      </c>
      <c r="K1227">
        <f t="shared" si="119"/>
        <v>2.137702183002721</v>
      </c>
    </row>
    <row r="1228" spans="1:11" x14ac:dyDescent="0.35">
      <c r="A1228" s="5" t="s">
        <v>8</v>
      </c>
      <c r="B1228" s="5">
        <v>1225</v>
      </c>
      <c r="C1228" s="5">
        <v>203</v>
      </c>
      <c r="D1228" s="16">
        <v>95.5</v>
      </c>
      <c r="E1228" s="1">
        <f t="shared" si="114"/>
        <v>-5.5555555555556344E-2</v>
      </c>
      <c r="F1228">
        <f t="shared" si="115"/>
        <v>128.2489928240737</v>
      </c>
      <c r="G1228">
        <f t="shared" si="116"/>
        <v>888.84778159508812</v>
      </c>
      <c r="I1228">
        <f t="shared" si="117"/>
        <v>5.5555555555555556E-4</v>
      </c>
      <c r="J1228">
        <f t="shared" si="118"/>
        <v>0.17812360114454681</v>
      </c>
      <c r="K1228">
        <f t="shared" si="119"/>
        <v>2.1332346758282115</v>
      </c>
    </row>
    <row r="1229" spans="1:11" x14ac:dyDescent="0.35">
      <c r="A1229" s="5" t="s">
        <v>8</v>
      </c>
      <c r="B1229" s="5">
        <v>1226</v>
      </c>
      <c r="C1229" s="5">
        <v>204</v>
      </c>
      <c r="D1229" s="16">
        <v>95.3</v>
      </c>
      <c r="E1229" s="1">
        <f t="shared" si="114"/>
        <v>-4.1666666666666269E-2</v>
      </c>
      <c r="F1229">
        <f t="shared" si="115"/>
        <v>134.22047749074093</v>
      </c>
      <c r="G1229">
        <f t="shared" si="116"/>
        <v>886.98632027237579</v>
      </c>
      <c r="I1229">
        <f t="shared" si="117"/>
        <v>5.5555555555555556E-4</v>
      </c>
      <c r="J1229">
        <f t="shared" si="118"/>
        <v>0.1864173298482513</v>
      </c>
      <c r="K1229">
        <f t="shared" si="119"/>
        <v>2.128767168653702</v>
      </c>
    </row>
    <row r="1230" spans="1:11" x14ac:dyDescent="0.35">
      <c r="A1230" s="5" t="s">
        <v>8</v>
      </c>
      <c r="B1230" s="5">
        <v>1227</v>
      </c>
      <c r="C1230" s="5">
        <v>205</v>
      </c>
      <c r="D1230" s="16">
        <v>95.2</v>
      </c>
      <c r="E1230" s="1">
        <f t="shared" si="114"/>
        <v>-4.1666666666666269E-2</v>
      </c>
      <c r="F1230">
        <f t="shared" si="115"/>
        <v>134.0398376296298</v>
      </c>
      <c r="G1230">
        <f t="shared" si="116"/>
        <v>886.05558961101974</v>
      </c>
      <c r="I1230">
        <f t="shared" si="117"/>
        <v>5.5555555555555556E-4</v>
      </c>
      <c r="J1230">
        <f t="shared" si="118"/>
        <v>0.18616644115226361</v>
      </c>
      <c r="K1230">
        <f t="shared" si="119"/>
        <v>2.1265334150664477</v>
      </c>
    </row>
    <row r="1231" spans="1:11" x14ac:dyDescent="0.35">
      <c r="A1231" s="5" t="s">
        <v>8</v>
      </c>
      <c r="B1231" s="5">
        <v>1228</v>
      </c>
      <c r="C1231" s="5">
        <v>206</v>
      </c>
      <c r="D1231" s="16">
        <v>95</v>
      </c>
      <c r="E1231" s="1">
        <f t="shared" si="114"/>
        <v>-4.1666666666666269E-2</v>
      </c>
      <c r="F1231">
        <f t="shared" si="115"/>
        <v>133.67912685185203</v>
      </c>
      <c r="G1231">
        <f t="shared" si="116"/>
        <v>884.19412828830752</v>
      </c>
      <c r="I1231">
        <f t="shared" si="117"/>
        <v>5.5555555555555556E-4</v>
      </c>
      <c r="J1231">
        <f t="shared" si="118"/>
        <v>0.18566545396090561</v>
      </c>
      <c r="K1231">
        <f t="shared" si="119"/>
        <v>2.1220659078919382</v>
      </c>
    </row>
    <row r="1232" spans="1:11" x14ac:dyDescent="0.35">
      <c r="A1232" s="5" t="s">
        <v>8</v>
      </c>
      <c r="B1232" s="5">
        <v>1229</v>
      </c>
      <c r="C1232" s="5">
        <v>207</v>
      </c>
      <c r="D1232" s="16">
        <v>94.9</v>
      </c>
      <c r="E1232" s="1">
        <f t="shared" si="114"/>
        <v>-4.1666666666666269E-2</v>
      </c>
      <c r="F1232">
        <f t="shared" si="115"/>
        <v>133.49905593518534</v>
      </c>
      <c r="G1232">
        <f t="shared" si="116"/>
        <v>883.26339762695136</v>
      </c>
      <c r="I1232">
        <f t="shared" si="117"/>
        <v>5.5555555555555556E-4</v>
      </c>
      <c r="J1232">
        <f t="shared" si="118"/>
        <v>0.1854153554655352</v>
      </c>
      <c r="K1232">
        <f t="shared" si="119"/>
        <v>2.119832154304683</v>
      </c>
    </row>
    <row r="1233" spans="1:11" x14ac:dyDescent="0.35">
      <c r="A1233" s="5" t="s">
        <v>8</v>
      </c>
      <c r="B1233" s="5">
        <v>1230</v>
      </c>
      <c r="C1233" s="5">
        <v>208</v>
      </c>
      <c r="D1233" s="16">
        <v>94.7</v>
      </c>
      <c r="E1233" s="1">
        <f t="shared" si="114"/>
        <v>-5.5555555555556344E-2</v>
      </c>
      <c r="F1233">
        <f t="shared" si="115"/>
        <v>126.80614971296261</v>
      </c>
      <c r="G1233">
        <f t="shared" si="116"/>
        <v>881.40193630423914</v>
      </c>
      <c r="I1233">
        <f t="shared" si="117"/>
        <v>5.5555555555555556E-4</v>
      </c>
      <c r="J1233">
        <f t="shared" si="118"/>
        <v>0.17611965237911473</v>
      </c>
      <c r="K1233">
        <f t="shared" si="119"/>
        <v>2.1153646471301739</v>
      </c>
    </row>
    <row r="1234" spans="1:11" x14ac:dyDescent="0.35">
      <c r="A1234" s="5" t="s">
        <v>8</v>
      </c>
      <c r="B1234" s="5">
        <v>1231</v>
      </c>
      <c r="C1234" s="5">
        <v>209</v>
      </c>
      <c r="D1234" s="16">
        <v>94.5</v>
      </c>
      <c r="E1234" s="1">
        <f t="shared" si="114"/>
        <v>-4.1666666666666269E-2</v>
      </c>
      <c r="F1234">
        <f t="shared" si="115"/>
        <v>132.78066875000016</v>
      </c>
      <c r="G1234">
        <f t="shared" si="116"/>
        <v>879.54047498152693</v>
      </c>
      <c r="I1234">
        <f t="shared" si="117"/>
        <v>5.5555555555555556E-4</v>
      </c>
      <c r="J1234">
        <f t="shared" si="118"/>
        <v>0.18441759548611134</v>
      </c>
      <c r="K1234">
        <f t="shared" si="119"/>
        <v>2.1108971399556644</v>
      </c>
    </row>
    <row r="1235" spans="1:11" x14ac:dyDescent="0.35">
      <c r="A1235" s="5" t="s">
        <v>8</v>
      </c>
      <c r="B1235" s="5">
        <v>1232</v>
      </c>
      <c r="C1235" s="5">
        <v>210</v>
      </c>
      <c r="D1235" s="16">
        <v>94.4</v>
      </c>
      <c r="E1235" s="1">
        <f t="shared" si="114"/>
        <v>-1.3888888888888099E-2</v>
      </c>
      <c r="F1235">
        <f t="shared" si="115"/>
        <v>145.26821274074109</v>
      </c>
      <c r="G1235">
        <f t="shared" si="116"/>
        <v>878.60974432017088</v>
      </c>
      <c r="I1235">
        <f t="shared" si="117"/>
        <v>5.5555555555555556E-4</v>
      </c>
      <c r="J1235">
        <f t="shared" si="118"/>
        <v>0.20176140658436262</v>
      </c>
      <c r="K1235">
        <f t="shared" si="119"/>
        <v>2.1086633863684101</v>
      </c>
    </row>
    <row r="1236" spans="1:11" x14ac:dyDescent="0.35">
      <c r="A1236" s="5" t="s">
        <v>8</v>
      </c>
      <c r="B1236" s="5">
        <v>1233</v>
      </c>
      <c r="C1236" s="5">
        <v>211</v>
      </c>
      <c r="D1236" s="16">
        <v>94.4</v>
      </c>
      <c r="E1236" s="1">
        <f t="shared" si="114"/>
        <v>-1.3888888888890073E-2</v>
      </c>
      <c r="F1236">
        <f t="shared" si="115"/>
        <v>145.26821274074018</v>
      </c>
      <c r="G1236">
        <f t="shared" si="116"/>
        <v>878.60974432017088</v>
      </c>
      <c r="I1236">
        <f t="shared" si="117"/>
        <v>5.5555555555555556E-4</v>
      </c>
      <c r="J1236">
        <f t="shared" si="118"/>
        <v>0.20176140658436137</v>
      </c>
      <c r="K1236">
        <f t="shared" si="119"/>
        <v>2.1086633863684101</v>
      </c>
    </row>
    <row r="1237" spans="1:11" x14ac:dyDescent="0.35">
      <c r="A1237" s="5" t="s">
        <v>8</v>
      </c>
      <c r="B1237" s="5">
        <v>1234</v>
      </c>
      <c r="C1237" s="5">
        <v>212</v>
      </c>
      <c r="D1237" s="16">
        <v>94.3</v>
      </c>
      <c r="E1237" s="1">
        <f t="shared" si="114"/>
        <v>-1.3888888888890073E-2</v>
      </c>
      <c r="F1237">
        <f t="shared" si="115"/>
        <v>145.08927971296242</v>
      </c>
      <c r="G1237">
        <f t="shared" si="116"/>
        <v>877.67901365881471</v>
      </c>
      <c r="I1237">
        <f t="shared" si="117"/>
        <v>5.5555555555555556E-4</v>
      </c>
      <c r="J1237">
        <f t="shared" si="118"/>
        <v>0.20151288849022558</v>
      </c>
      <c r="K1237">
        <f t="shared" si="119"/>
        <v>2.1064296327811554</v>
      </c>
    </row>
    <row r="1238" spans="1:11" x14ac:dyDescent="0.35">
      <c r="A1238" s="5" t="s">
        <v>8</v>
      </c>
      <c r="B1238" s="5">
        <v>1235</v>
      </c>
      <c r="C1238" s="5">
        <v>213</v>
      </c>
      <c r="D1238" s="16">
        <v>94.3</v>
      </c>
      <c r="E1238" s="1">
        <f t="shared" si="114"/>
        <v>-2.7777777777778172E-2</v>
      </c>
      <c r="F1238">
        <f t="shared" si="115"/>
        <v>138.75594637962945</v>
      </c>
      <c r="G1238">
        <f t="shared" si="116"/>
        <v>877.67901365881471</v>
      </c>
      <c r="I1238">
        <f t="shared" si="117"/>
        <v>5.5555555555555556E-4</v>
      </c>
      <c r="J1238">
        <f t="shared" si="118"/>
        <v>0.19271659219392978</v>
      </c>
      <c r="K1238">
        <f t="shared" si="119"/>
        <v>2.1064296327811554</v>
      </c>
    </row>
    <row r="1239" spans="1:11" x14ac:dyDescent="0.35">
      <c r="A1239" s="5" t="s">
        <v>8</v>
      </c>
      <c r="B1239" s="5">
        <v>1236</v>
      </c>
      <c r="C1239" s="5">
        <v>214</v>
      </c>
      <c r="D1239" s="16">
        <v>94.1</v>
      </c>
      <c r="E1239" s="1">
        <f t="shared" si="114"/>
        <v>-5.5555555555554373E-2</v>
      </c>
      <c r="F1239">
        <f t="shared" si="115"/>
        <v>125.73198260185238</v>
      </c>
      <c r="G1239">
        <f t="shared" si="116"/>
        <v>875.81755233610249</v>
      </c>
      <c r="I1239">
        <f t="shared" si="117"/>
        <v>5.5555555555555556E-4</v>
      </c>
      <c r="J1239">
        <f t="shared" si="118"/>
        <v>0.17462775361368385</v>
      </c>
      <c r="K1239">
        <f t="shared" si="119"/>
        <v>2.1019621256066459</v>
      </c>
    </row>
    <row r="1240" spans="1:11" x14ac:dyDescent="0.35">
      <c r="A1240" s="5" t="s">
        <v>8</v>
      </c>
      <c r="B1240" s="5">
        <v>1237</v>
      </c>
      <c r="C1240" s="5">
        <v>215</v>
      </c>
      <c r="D1240" s="16">
        <v>93.9</v>
      </c>
      <c r="E1240" s="1">
        <f t="shared" si="114"/>
        <v>-9.7222222222220642E-2</v>
      </c>
      <c r="F1240">
        <f t="shared" si="115"/>
        <v>106.37544408333409</v>
      </c>
      <c r="G1240">
        <f t="shared" si="116"/>
        <v>873.95609101339028</v>
      </c>
      <c r="I1240">
        <f t="shared" si="117"/>
        <v>5.5555555555555556E-4</v>
      </c>
      <c r="J1240">
        <f t="shared" si="118"/>
        <v>0.14774367233796401</v>
      </c>
      <c r="K1240">
        <f t="shared" si="119"/>
        <v>2.0974946184321368</v>
      </c>
    </row>
    <row r="1241" spans="1:11" x14ac:dyDescent="0.35">
      <c r="A1241" s="5" t="s">
        <v>8</v>
      </c>
      <c r="B1241" s="5">
        <v>1238</v>
      </c>
      <c r="C1241" s="5">
        <v>216</v>
      </c>
      <c r="D1241" s="16">
        <v>93.4</v>
      </c>
      <c r="E1241" s="1">
        <f t="shared" si="114"/>
        <v>-0.15277777777777896</v>
      </c>
      <c r="F1241">
        <f t="shared" si="115"/>
        <v>80.154083296295767</v>
      </c>
      <c r="G1241">
        <f t="shared" si="116"/>
        <v>869.30243770660968</v>
      </c>
      <c r="I1241">
        <f t="shared" si="117"/>
        <v>5.5555555555555556E-4</v>
      </c>
      <c r="J1241">
        <f t="shared" si="118"/>
        <v>0.11132511568929968</v>
      </c>
      <c r="K1241">
        <f t="shared" si="119"/>
        <v>2.0863258504958635</v>
      </c>
    </row>
    <row r="1242" spans="1:11" x14ac:dyDescent="0.35">
      <c r="A1242" s="5" t="s">
        <v>8</v>
      </c>
      <c r="B1242" s="5">
        <v>1239</v>
      </c>
      <c r="C1242" s="5">
        <v>217</v>
      </c>
      <c r="D1242" s="16">
        <v>92.8</v>
      </c>
      <c r="E1242" s="1">
        <f t="shared" si="114"/>
        <v>-0.19444444444444522</v>
      </c>
      <c r="F1242">
        <f t="shared" si="115"/>
        <v>60.094708740740366</v>
      </c>
      <c r="G1242">
        <f t="shared" si="116"/>
        <v>863.71805373847303</v>
      </c>
      <c r="I1242">
        <f t="shared" si="117"/>
        <v>5.5555555555555556E-4</v>
      </c>
      <c r="J1242">
        <f t="shared" si="118"/>
        <v>8.346487325102829E-2</v>
      </c>
      <c r="K1242">
        <f t="shared" si="119"/>
        <v>2.072923328972335</v>
      </c>
    </row>
    <row r="1243" spans="1:11" x14ac:dyDescent="0.35">
      <c r="A1243" s="5" t="s">
        <v>8</v>
      </c>
      <c r="B1243" s="5">
        <v>1240</v>
      </c>
      <c r="C1243" s="5">
        <v>218</v>
      </c>
      <c r="D1243" s="16">
        <v>92</v>
      </c>
      <c r="E1243" s="1">
        <f t="shared" si="114"/>
        <v>-0.20833333333333331</v>
      </c>
      <c r="F1243">
        <f t="shared" si="115"/>
        <v>52.3594962962963</v>
      </c>
      <c r="G1243">
        <f t="shared" si="116"/>
        <v>856.27220844762417</v>
      </c>
      <c r="I1243">
        <f t="shared" si="117"/>
        <v>5.5555555555555556E-4</v>
      </c>
      <c r="J1243">
        <f t="shared" si="118"/>
        <v>7.2721522633744859E-2</v>
      </c>
      <c r="K1243">
        <f t="shared" si="119"/>
        <v>2.0550533002742979</v>
      </c>
    </row>
    <row r="1244" spans="1:11" x14ac:dyDescent="0.35">
      <c r="A1244" s="5" t="s">
        <v>8</v>
      </c>
      <c r="B1244" s="5">
        <v>1241</v>
      </c>
      <c r="C1244" s="5">
        <v>219</v>
      </c>
      <c r="D1244" s="16">
        <v>91.3</v>
      </c>
      <c r="E1244" s="1">
        <f t="shared" si="114"/>
        <v>-0.19444444444444522</v>
      </c>
      <c r="F1244">
        <f t="shared" si="115"/>
        <v>57.476141935184835</v>
      </c>
      <c r="G1244">
        <f t="shared" si="116"/>
        <v>849.75709381813135</v>
      </c>
      <c r="I1244">
        <f t="shared" si="117"/>
        <v>5.5555555555555556E-4</v>
      </c>
      <c r="J1244">
        <f t="shared" si="118"/>
        <v>7.9827974909978935E-2</v>
      </c>
      <c r="K1244">
        <f t="shared" si="119"/>
        <v>2.0394170251635155</v>
      </c>
    </row>
    <row r="1245" spans="1:11" x14ac:dyDescent="0.35">
      <c r="A1245" s="5" t="s">
        <v>8</v>
      </c>
      <c r="B1245" s="5">
        <v>1242</v>
      </c>
      <c r="C1245" s="5">
        <v>220</v>
      </c>
      <c r="D1245" s="16">
        <v>90.6</v>
      </c>
      <c r="E1245" s="1">
        <f t="shared" si="114"/>
        <v>-0.18055555555555516</v>
      </c>
      <c r="F1245">
        <f t="shared" si="115"/>
        <v>62.602080333333483</v>
      </c>
      <c r="G1245">
        <f t="shared" si="116"/>
        <v>843.24197918863854</v>
      </c>
      <c r="I1245">
        <f t="shared" si="117"/>
        <v>5.5555555555555556E-4</v>
      </c>
      <c r="J1245">
        <f t="shared" si="118"/>
        <v>8.6947333796296503E-2</v>
      </c>
      <c r="K1245">
        <f t="shared" si="119"/>
        <v>2.0237807500527323</v>
      </c>
    </row>
    <row r="1246" spans="1:11" x14ac:dyDescent="0.35">
      <c r="A1246" s="5" t="s">
        <v>8</v>
      </c>
      <c r="B1246" s="5">
        <v>1243</v>
      </c>
      <c r="C1246" s="5">
        <v>221</v>
      </c>
      <c r="D1246" s="16">
        <v>90</v>
      </c>
      <c r="E1246" s="1">
        <f t="shared" si="114"/>
        <v>-0.18055555555555516</v>
      </c>
      <c r="F1246">
        <f t="shared" si="115"/>
        <v>61.574566666666833</v>
      </c>
      <c r="G1246">
        <f t="shared" si="116"/>
        <v>837.65759522050189</v>
      </c>
      <c r="I1246">
        <f t="shared" si="117"/>
        <v>5.5555555555555556E-4</v>
      </c>
      <c r="J1246">
        <f t="shared" si="118"/>
        <v>8.5520231481481718E-2</v>
      </c>
      <c r="K1246">
        <f t="shared" si="119"/>
        <v>2.0103782285292047</v>
      </c>
    </row>
    <row r="1247" spans="1:11" x14ac:dyDescent="0.35">
      <c r="A1247" s="5" t="s">
        <v>8</v>
      </c>
      <c r="B1247" s="5">
        <v>1244</v>
      </c>
      <c r="C1247" s="5">
        <v>222</v>
      </c>
      <c r="D1247" s="16">
        <v>89.3</v>
      </c>
      <c r="E1247" s="1">
        <f t="shared" si="114"/>
        <v>-0.18055555555555516</v>
      </c>
      <c r="F1247">
        <f t="shared" si="115"/>
        <v>60.384429712963126</v>
      </c>
      <c r="G1247">
        <f t="shared" si="116"/>
        <v>831.14248059100908</v>
      </c>
      <c r="I1247">
        <f t="shared" si="117"/>
        <v>5.5555555555555556E-4</v>
      </c>
      <c r="J1247">
        <f t="shared" si="118"/>
        <v>8.3867263490226565E-2</v>
      </c>
      <c r="K1247">
        <f t="shared" si="119"/>
        <v>1.9947419534184219</v>
      </c>
    </row>
    <row r="1248" spans="1:11" x14ac:dyDescent="0.35">
      <c r="A1248" s="5" t="s">
        <v>8</v>
      </c>
      <c r="B1248" s="5">
        <v>1245</v>
      </c>
      <c r="C1248" s="5">
        <v>223</v>
      </c>
      <c r="D1248" s="16">
        <v>88.7</v>
      </c>
      <c r="E1248" s="1">
        <f t="shared" si="114"/>
        <v>-0.16666666666666705</v>
      </c>
      <c r="F1248">
        <f t="shared" si="115"/>
        <v>65.705041935185008</v>
      </c>
      <c r="G1248">
        <f t="shared" si="116"/>
        <v>825.55809662287243</v>
      </c>
      <c r="I1248">
        <f t="shared" si="117"/>
        <v>5.5555555555555556E-4</v>
      </c>
      <c r="J1248">
        <f t="shared" si="118"/>
        <v>9.1257002687756952E-2</v>
      </c>
      <c r="K1248">
        <f t="shared" si="119"/>
        <v>1.981339431894894</v>
      </c>
    </row>
    <row r="1249" spans="1:11" x14ac:dyDescent="0.35">
      <c r="A1249" s="5" t="s">
        <v>8</v>
      </c>
      <c r="B1249" s="5">
        <v>1246</v>
      </c>
      <c r="C1249" s="5">
        <v>224</v>
      </c>
      <c r="D1249" s="16">
        <v>88.1</v>
      </c>
      <c r="E1249" s="1">
        <f t="shared" si="114"/>
        <v>-0.18055555555555516</v>
      </c>
      <c r="F1249">
        <f t="shared" si="115"/>
        <v>58.365814824074242</v>
      </c>
      <c r="G1249">
        <f t="shared" si="116"/>
        <v>819.97371265473566</v>
      </c>
      <c r="I1249">
        <f t="shared" si="117"/>
        <v>5.5555555555555556E-4</v>
      </c>
      <c r="J1249">
        <f t="shared" si="118"/>
        <v>8.1063631700103111E-2</v>
      </c>
      <c r="K1249">
        <f t="shared" si="119"/>
        <v>1.9679369103713655</v>
      </c>
    </row>
    <row r="1250" spans="1:11" x14ac:dyDescent="0.35">
      <c r="A1250" s="5" t="s">
        <v>8</v>
      </c>
      <c r="B1250" s="5">
        <v>1247</v>
      </c>
      <c r="C1250" s="5">
        <v>225</v>
      </c>
      <c r="D1250" s="16">
        <v>87.4</v>
      </c>
      <c r="E1250" s="1">
        <f t="shared" si="114"/>
        <v>-0.19444444444444325</v>
      </c>
      <c r="F1250">
        <f t="shared" si="115"/>
        <v>50.867567740741286</v>
      </c>
      <c r="G1250">
        <f t="shared" si="116"/>
        <v>813.45859802524296</v>
      </c>
      <c r="I1250">
        <f t="shared" si="117"/>
        <v>5.5555555555555556E-4</v>
      </c>
      <c r="J1250">
        <f t="shared" si="118"/>
        <v>7.0649399639918453E-2</v>
      </c>
      <c r="K1250">
        <f t="shared" si="119"/>
        <v>1.9523006352605832</v>
      </c>
    </row>
    <row r="1251" spans="1:11" x14ac:dyDescent="0.35">
      <c r="A1251" s="5" t="s">
        <v>8</v>
      </c>
      <c r="B1251" s="5">
        <v>1248</v>
      </c>
      <c r="C1251" s="5">
        <v>226</v>
      </c>
      <c r="D1251" s="16">
        <v>86.7</v>
      </c>
      <c r="E1251" s="1">
        <f t="shared" si="114"/>
        <v>-0.19444444444444522</v>
      </c>
      <c r="F1251">
        <f t="shared" si="115"/>
        <v>49.71194674999964</v>
      </c>
      <c r="G1251">
        <f t="shared" si="116"/>
        <v>806.94348339575015</v>
      </c>
      <c r="I1251">
        <f t="shared" si="117"/>
        <v>5.5555555555555556E-4</v>
      </c>
      <c r="J1251">
        <f t="shared" si="118"/>
        <v>6.9044370486110618E-2</v>
      </c>
      <c r="K1251">
        <f t="shared" si="119"/>
        <v>1.9366643601498006</v>
      </c>
    </row>
    <row r="1252" spans="1:11" x14ac:dyDescent="0.35">
      <c r="A1252" s="5" t="s">
        <v>8</v>
      </c>
      <c r="B1252" s="5">
        <v>1249</v>
      </c>
      <c r="C1252" s="5">
        <v>227</v>
      </c>
      <c r="D1252" s="16">
        <v>86</v>
      </c>
      <c r="E1252" s="1">
        <f t="shared" si="114"/>
        <v>-0.19444444444444522</v>
      </c>
      <c r="F1252">
        <f t="shared" si="115"/>
        <v>48.565618518518164</v>
      </c>
      <c r="G1252">
        <f t="shared" si="116"/>
        <v>800.42836876625734</v>
      </c>
      <c r="I1252">
        <f t="shared" si="117"/>
        <v>5.5555555555555556E-4</v>
      </c>
      <c r="J1252">
        <f t="shared" si="118"/>
        <v>6.7452247942386342E-2</v>
      </c>
      <c r="K1252">
        <f t="shared" si="119"/>
        <v>1.9210280850390176</v>
      </c>
    </row>
    <row r="1253" spans="1:11" x14ac:dyDescent="0.35">
      <c r="A1253" s="5" t="s">
        <v>8</v>
      </c>
      <c r="B1253" s="5">
        <v>1250</v>
      </c>
      <c r="C1253" s="5">
        <v>228</v>
      </c>
      <c r="D1253" s="16">
        <v>85.3</v>
      </c>
      <c r="E1253" s="1">
        <f t="shared" si="114"/>
        <v>-0.18055555555555516</v>
      </c>
      <c r="F1253">
        <f t="shared" si="115"/>
        <v>53.761916379629781</v>
      </c>
      <c r="G1253">
        <f t="shared" si="116"/>
        <v>793.91325413676452</v>
      </c>
      <c r="I1253">
        <f t="shared" si="117"/>
        <v>5.5555555555555556E-4</v>
      </c>
      <c r="J1253">
        <f t="shared" si="118"/>
        <v>7.466932830504136E-2</v>
      </c>
      <c r="K1253">
        <f t="shared" si="119"/>
        <v>1.905391809928235</v>
      </c>
    </row>
    <row r="1254" spans="1:11" x14ac:dyDescent="0.35">
      <c r="A1254" s="5" t="s">
        <v>8</v>
      </c>
      <c r="B1254" s="5">
        <v>1251</v>
      </c>
      <c r="C1254" s="5">
        <v>229</v>
      </c>
      <c r="D1254" s="16">
        <v>84.7</v>
      </c>
      <c r="E1254" s="1">
        <f t="shared" si="114"/>
        <v>-0.16666666666666705</v>
      </c>
      <c r="F1254">
        <f t="shared" si="115"/>
        <v>59.128044157407238</v>
      </c>
      <c r="G1254">
        <f t="shared" si="116"/>
        <v>788.32887016862787</v>
      </c>
      <c r="I1254">
        <f t="shared" si="117"/>
        <v>5.5555555555555556E-4</v>
      </c>
      <c r="J1254">
        <f t="shared" si="118"/>
        <v>8.21222835519545E-2</v>
      </c>
      <c r="K1254">
        <f t="shared" si="119"/>
        <v>1.8919892884047069</v>
      </c>
    </row>
    <row r="1255" spans="1:11" x14ac:dyDescent="0.35">
      <c r="A1255" s="5" t="s">
        <v>8</v>
      </c>
      <c r="B1255" s="5">
        <v>1252</v>
      </c>
      <c r="C1255" s="5">
        <v>230</v>
      </c>
      <c r="D1255" s="16">
        <v>84.1</v>
      </c>
      <c r="E1255" s="1">
        <f t="shared" si="114"/>
        <v>-0.16666666666666705</v>
      </c>
      <c r="F1255">
        <f t="shared" si="115"/>
        <v>58.167665935185013</v>
      </c>
      <c r="G1255">
        <f t="shared" si="116"/>
        <v>782.74448620049122</v>
      </c>
      <c r="I1255">
        <f t="shared" si="117"/>
        <v>5.5555555555555556E-4</v>
      </c>
      <c r="J1255">
        <f t="shared" si="118"/>
        <v>8.0788424909979187E-2</v>
      </c>
      <c r="K1255">
        <f t="shared" si="119"/>
        <v>1.8785867668811789</v>
      </c>
    </row>
    <row r="1256" spans="1:11" x14ac:dyDescent="0.35">
      <c r="A1256" s="5" t="s">
        <v>8</v>
      </c>
      <c r="B1256" s="5">
        <v>1253</v>
      </c>
      <c r="C1256" s="5">
        <v>231</v>
      </c>
      <c r="D1256" s="16">
        <v>83.5</v>
      </c>
      <c r="E1256" s="1">
        <f t="shared" si="114"/>
        <v>-0.16666666666666508</v>
      </c>
      <c r="F1256">
        <f t="shared" si="115"/>
        <v>57.214115046297003</v>
      </c>
      <c r="G1256">
        <f t="shared" si="116"/>
        <v>777.16010223235446</v>
      </c>
      <c r="I1256">
        <f t="shared" si="117"/>
        <v>5.5555555555555556E-4</v>
      </c>
      <c r="J1256">
        <f t="shared" si="118"/>
        <v>7.9464048675412499E-2</v>
      </c>
      <c r="K1256">
        <f t="shared" si="119"/>
        <v>1.8651842453576506</v>
      </c>
    </row>
    <row r="1257" spans="1:11" x14ac:dyDescent="0.35">
      <c r="A1257" s="5" t="s">
        <v>8</v>
      </c>
      <c r="B1257" s="5">
        <v>1254</v>
      </c>
      <c r="C1257" s="5">
        <v>232</v>
      </c>
      <c r="D1257" s="16">
        <v>82.9</v>
      </c>
      <c r="E1257" s="1">
        <f t="shared" si="114"/>
        <v>-0.16666666666666705</v>
      </c>
      <c r="F1257">
        <f t="shared" si="115"/>
        <v>56.267391490740572</v>
      </c>
      <c r="G1257">
        <f t="shared" si="116"/>
        <v>771.57571826421781</v>
      </c>
      <c r="I1257">
        <f t="shared" si="117"/>
        <v>5.5555555555555556E-4</v>
      </c>
      <c r="J1257">
        <f t="shared" si="118"/>
        <v>7.8149154848250788E-2</v>
      </c>
      <c r="K1257">
        <f t="shared" si="119"/>
        <v>1.8517817238341228</v>
      </c>
    </row>
    <row r="1258" spans="1:11" x14ac:dyDescent="0.35">
      <c r="A1258" s="5" t="s">
        <v>8</v>
      </c>
      <c r="B1258" s="5">
        <v>1255</v>
      </c>
      <c r="C1258" s="5">
        <v>233</v>
      </c>
      <c r="D1258" s="16">
        <v>82.3</v>
      </c>
      <c r="E1258" s="1">
        <f t="shared" si="114"/>
        <v>-0.16666666666666705</v>
      </c>
      <c r="F1258">
        <f t="shared" si="115"/>
        <v>55.327495268518355</v>
      </c>
      <c r="G1258">
        <f t="shared" si="116"/>
        <v>765.99133429608116</v>
      </c>
      <c r="I1258">
        <f t="shared" si="117"/>
        <v>5.5555555555555556E-4</v>
      </c>
      <c r="J1258">
        <f t="shared" si="118"/>
        <v>7.6843743428497716E-2</v>
      </c>
      <c r="K1258">
        <f t="shared" si="119"/>
        <v>1.8383792023105949</v>
      </c>
    </row>
    <row r="1259" spans="1:11" x14ac:dyDescent="0.35">
      <c r="A1259" s="5" t="s">
        <v>8</v>
      </c>
      <c r="B1259" s="5">
        <v>1256</v>
      </c>
      <c r="C1259" s="5">
        <v>234</v>
      </c>
      <c r="D1259" s="16">
        <v>81.7</v>
      </c>
      <c r="E1259" s="1">
        <f t="shared" si="114"/>
        <v>-0.16666666666666705</v>
      </c>
      <c r="F1259">
        <f t="shared" si="115"/>
        <v>54.394426379629472</v>
      </c>
      <c r="G1259">
        <f t="shared" si="116"/>
        <v>760.40695032794451</v>
      </c>
      <c r="I1259">
        <f t="shared" si="117"/>
        <v>5.5555555555555556E-4</v>
      </c>
      <c r="J1259">
        <f t="shared" si="118"/>
        <v>7.5547814416152048E-2</v>
      </c>
      <c r="K1259">
        <f t="shared" si="119"/>
        <v>1.8249766807870669</v>
      </c>
    </row>
    <row r="1260" spans="1:11" x14ac:dyDescent="0.35">
      <c r="A1260" s="5" t="s">
        <v>8</v>
      </c>
      <c r="B1260" s="5">
        <v>1257</v>
      </c>
      <c r="C1260" s="5">
        <v>235</v>
      </c>
      <c r="D1260" s="16">
        <v>81.099999999999994</v>
      </c>
      <c r="E1260" s="1">
        <f t="shared" si="114"/>
        <v>-0.16666666666666705</v>
      </c>
      <c r="F1260">
        <f t="shared" si="115"/>
        <v>53.468184824073894</v>
      </c>
      <c r="G1260">
        <f t="shared" si="116"/>
        <v>754.82256635980775</v>
      </c>
      <c r="I1260">
        <f t="shared" si="117"/>
        <v>5.5555555555555556E-4</v>
      </c>
      <c r="J1260">
        <f t="shared" si="118"/>
        <v>7.4261367811213744E-2</v>
      </c>
      <c r="K1260">
        <f t="shared" si="119"/>
        <v>1.8115741592635386</v>
      </c>
    </row>
    <row r="1261" spans="1:11" x14ac:dyDescent="0.35">
      <c r="A1261" s="5" t="s">
        <v>8</v>
      </c>
      <c r="B1261" s="5">
        <v>1258</v>
      </c>
      <c r="C1261" s="5">
        <v>236</v>
      </c>
      <c r="D1261" s="16">
        <v>80.5</v>
      </c>
      <c r="E1261" s="1">
        <f t="shared" si="114"/>
        <v>-0.16666666666666508</v>
      </c>
      <c r="F1261">
        <f t="shared" si="115"/>
        <v>52.548770601852567</v>
      </c>
      <c r="G1261">
        <f t="shared" si="116"/>
        <v>749.2381823916711</v>
      </c>
      <c r="I1261">
        <f t="shared" si="117"/>
        <v>5.5555555555555556E-4</v>
      </c>
      <c r="J1261">
        <f t="shared" si="118"/>
        <v>7.2984403613684121E-2</v>
      </c>
      <c r="K1261">
        <f t="shared" si="119"/>
        <v>1.7981716377400108</v>
      </c>
    </row>
    <row r="1262" spans="1:11" x14ac:dyDescent="0.35">
      <c r="A1262" s="5" t="s">
        <v>8</v>
      </c>
      <c r="B1262" s="5">
        <v>1259</v>
      </c>
      <c r="C1262" s="5">
        <v>237</v>
      </c>
      <c r="D1262" s="16">
        <v>79.900000000000006</v>
      </c>
      <c r="E1262" s="1">
        <f t="shared" si="114"/>
        <v>-0.15277777777777699</v>
      </c>
      <c r="F1262">
        <f t="shared" si="115"/>
        <v>57.969517046296666</v>
      </c>
      <c r="G1262">
        <f t="shared" si="116"/>
        <v>743.65379842353445</v>
      </c>
      <c r="I1262">
        <f t="shared" si="117"/>
        <v>5.5555555555555556E-4</v>
      </c>
      <c r="J1262">
        <f t="shared" si="118"/>
        <v>8.0513218119856483E-2</v>
      </c>
      <c r="K1262">
        <f t="shared" si="119"/>
        <v>1.7847691162164829</v>
      </c>
    </row>
    <row r="1263" spans="1:11" x14ac:dyDescent="0.35">
      <c r="A1263" s="5" t="s">
        <v>8</v>
      </c>
      <c r="B1263" s="5">
        <v>1260</v>
      </c>
      <c r="C1263" s="5">
        <v>238</v>
      </c>
      <c r="D1263" s="16">
        <v>79.400000000000006</v>
      </c>
      <c r="E1263" s="1">
        <f t="shared" si="114"/>
        <v>-0.12500000000000078</v>
      </c>
      <c r="F1263">
        <f t="shared" si="115"/>
        <v>69.880909962962605</v>
      </c>
      <c r="G1263">
        <f t="shared" si="116"/>
        <v>739.00014511675386</v>
      </c>
      <c r="I1263">
        <f t="shared" si="117"/>
        <v>5.5555555555555556E-4</v>
      </c>
      <c r="J1263">
        <f t="shared" si="118"/>
        <v>9.7056819393003618E-2</v>
      </c>
      <c r="K1263">
        <f t="shared" si="119"/>
        <v>1.7736003482802092</v>
      </c>
    </row>
    <row r="1264" spans="1:11" x14ac:dyDescent="0.35">
      <c r="A1264" s="5" t="s">
        <v>8</v>
      </c>
      <c r="B1264" s="5">
        <v>1261</v>
      </c>
      <c r="C1264" s="5">
        <v>239</v>
      </c>
      <c r="D1264" s="16">
        <v>79</v>
      </c>
      <c r="E1264" s="1">
        <f t="shared" si="114"/>
        <v>-9.7222222222222612E-2</v>
      </c>
      <c r="F1264">
        <f t="shared" si="115"/>
        <v>81.94677129629612</v>
      </c>
      <c r="G1264">
        <f t="shared" si="116"/>
        <v>735.27722247132942</v>
      </c>
      <c r="I1264">
        <f t="shared" si="117"/>
        <v>5.5555555555555556E-4</v>
      </c>
      <c r="J1264">
        <f t="shared" si="118"/>
        <v>0.11381496013374461</v>
      </c>
      <c r="K1264">
        <f t="shared" si="119"/>
        <v>1.7646653339311906</v>
      </c>
    </row>
    <row r="1265" spans="1:11" x14ac:dyDescent="0.35">
      <c r="A1265" s="5" t="s">
        <v>8</v>
      </c>
      <c r="B1265" s="5">
        <v>1262</v>
      </c>
      <c r="C1265" s="5">
        <v>240</v>
      </c>
      <c r="D1265" s="16">
        <v>78.7</v>
      </c>
      <c r="E1265" s="1">
        <f t="shared" si="114"/>
        <v>-4.1666666666666269E-2</v>
      </c>
      <c r="F1265">
        <f t="shared" si="115"/>
        <v>106.83149193518537</v>
      </c>
      <c r="G1265">
        <f t="shared" si="116"/>
        <v>732.48503048726104</v>
      </c>
      <c r="I1265">
        <f t="shared" si="117"/>
        <v>5.5555555555555556E-4</v>
      </c>
      <c r="J1265">
        <f t="shared" si="118"/>
        <v>0.14837707213220191</v>
      </c>
      <c r="K1265">
        <f t="shared" si="119"/>
        <v>1.7579640731694266</v>
      </c>
    </row>
    <row r="1266" spans="1:11" x14ac:dyDescent="0.35">
      <c r="A1266" s="5" t="s">
        <v>8</v>
      </c>
      <c r="B1266" s="5">
        <v>1263</v>
      </c>
      <c r="C1266" s="5">
        <v>241</v>
      </c>
      <c r="D1266" s="16">
        <v>78.7</v>
      </c>
      <c r="E1266" s="1">
        <f t="shared" si="114"/>
        <v>1.3888888888888099E-2</v>
      </c>
      <c r="F1266">
        <f t="shared" si="115"/>
        <v>132.16482526851814</v>
      </c>
      <c r="G1266">
        <f t="shared" si="116"/>
        <v>732.48503048726104</v>
      </c>
      <c r="I1266">
        <f t="shared" si="117"/>
        <v>5.5555555555555556E-4</v>
      </c>
      <c r="J1266">
        <f t="shared" si="118"/>
        <v>0.18356225731738632</v>
      </c>
      <c r="K1266">
        <f t="shared" si="119"/>
        <v>1.7579640731694266</v>
      </c>
    </row>
    <row r="1267" spans="1:11" x14ac:dyDescent="0.35">
      <c r="A1267" s="5" t="s">
        <v>8</v>
      </c>
      <c r="B1267" s="5">
        <v>1264</v>
      </c>
      <c r="C1267" s="5">
        <v>242</v>
      </c>
      <c r="D1267" s="16">
        <v>78.8</v>
      </c>
      <c r="E1267" s="1">
        <f t="shared" si="114"/>
        <v>5.5555555555554373E-2</v>
      </c>
      <c r="F1267">
        <f t="shared" si="115"/>
        <v>151.31417318518464</v>
      </c>
      <c r="G1267">
        <f t="shared" si="116"/>
        <v>733.41576114861721</v>
      </c>
      <c r="I1267">
        <f t="shared" si="117"/>
        <v>5.5555555555555556E-4</v>
      </c>
      <c r="J1267">
        <f t="shared" si="118"/>
        <v>0.21015857386831199</v>
      </c>
      <c r="K1267">
        <f t="shared" si="119"/>
        <v>1.7601978267566813</v>
      </c>
    </row>
    <row r="1268" spans="1:11" x14ac:dyDescent="0.35">
      <c r="A1268" s="5" t="s">
        <v>8</v>
      </c>
      <c r="B1268" s="5">
        <v>1265</v>
      </c>
      <c r="C1268" s="5">
        <v>243</v>
      </c>
      <c r="D1268" s="16">
        <v>79.099999999999994</v>
      </c>
      <c r="E1268" s="1">
        <f t="shared" si="114"/>
        <v>8.3333333333334522E-2</v>
      </c>
      <c r="F1268">
        <f t="shared" si="115"/>
        <v>164.43002149074127</v>
      </c>
      <c r="G1268">
        <f t="shared" si="116"/>
        <v>736.20795313268547</v>
      </c>
      <c r="I1268">
        <f t="shared" si="117"/>
        <v>5.5555555555555556E-4</v>
      </c>
      <c r="J1268">
        <f t="shared" si="118"/>
        <v>0.22837502984825175</v>
      </c>
      <c r="K1268">
        <f t="shared" si="119"/>
        <v>1.7668990875184452</v>
      </c>
    </row>
    <row r="1269" spans="1:11" x14ac:dyDescent="0.35">
      <c r="A1269" s="5" t="s">
        <v>8</v>
      </c>
      <c r="B1269" s="5">
        <v>1266</v>
      </c>
      <c r="C1269" s="5">
        <v>244</v>
      </c>
      <c r="D1269" s="16">
        <v>79.400000000000006</v>
      </c>
      <c r="E1269" s="1">
        <f t="shared" si="114"/>
        <v>6.9444444444444448E-2</v>
      </c>
      <c r="F1269">
        <f t="shared" si="115"/>
        <v>158.54757662962965</v>
      </c>
      <c r="G1269">
        <f t="shared" si="116"/>
        <v>739.00014511675386</v>
      </c>
      <c r="I1269">
        <f t="shared" si="117"/>
        <v>5.5555555555555556E-4</v>
      </c>
      <c r="J1269">
        <f t="shared" si="118"/>
        <v>0.22020496754115229</v>
      </c>
      <c r="K1269">
        <f t="shared" si="119"/>
        <v>1.7736003482802092</v>
      </c>
    </row>
    <row r="1270" spans="1:11" x14ac:dyDescent="0.35">
      <c r="A1270" s="5" t="s">
        <v>8</v>
      </c>
      <c r="B1270" s="5">
        <v>1267</v>
      </c>
      <c r="C1270" s="5">
        <v>245</v>
      </c>
      <c r="D1270" s="16">
        <v>79.599999999999994</v>
      </c>
      <c r="E1270" s="1">
        <f t="shared" si="114"/>
        <v>5.5555555555554373E-2</v>
      </c>
      <c r="F1270">
        <f t="shared" si="115"/>
        <v>152.5157838518513</v>
      </c>
      <c r="G1270">
        <f t="shared" si="116"/>
        <v>740.86160643946607</v>
      </c>
      <c r="I1270">
        <f t="shared" si="117"/>
        <v>5.5555555555555556E-4</v>
      </c>
      <c r="J1270">
        <f t="shared" si="118"/>
        <v>0.2118274775720157</v>
      </c>
      <c r="K1270">
        <f t="shared" si="119"/>
        <v>1.7780678554547185</v>
      </c>
    </row>
    <row r="1271" spans="1:11" x14ac:dyDescent="0.35">
      <c r="A1271" s="5" t="s">
        <v>8</v>
      </c>
      <c r="B1271" s="5">
        <v>1268</v>
      </c>
      <c r="C1271" s="5">
        <v>246</v>
      </c>
      <c r="D1271" s="16">
        <v>79.8</v>
      </c>
      <c r="E1271" s="1">
        <f t="shared" si="114"/>
        <v>2.7777777777778172E-2</v>
      </c>
      <c r="F1271">
        <f t="shared" si="115"/>
        <v>140.15141633333349</v>
      </c>
      <c r="G1271">
        <f t="shared" si="116"/>
        <v>742.72306776217829</v>
      </c>
      <c r="I1271">
        <f t="shared" si="117"/>
        <v>5.5555555555555556E-4</v>
      </c>
      <c r="J1271">
        <f t="shared" si="118"/>
        <v>0.19465474490740761</v>
      </c>
      <c r="K1271">
        <f t="shared" si="119"/>
        <v>1.7825353626292282</v>
      </c>
    </row>
    <row r="1272" spans="1:11" x14ac:dyDescent="0.35">
      <c r="A1272" s="5" t="s">
        <v>8</v>
      </c>
      <c r="B1272" s="5">
        <v>1269</v>
      </c>
      <c r="C1272" s="5">
        <v>247</v>
      </c>
      <c r="D1272" s="16">
        <v>79.8</v>
      </c>
      <c r="E1272" s="1">
        <f t="shared" si="114"/>
        <v>-2.7777777777778172E-2</v>
      </c>
      <c r="F1272">
        <f t="shared" si="115"/>
        <v>114.8180829999998</v>
      </c>
      <c r="G1272">
        <f t="shared" si="116"/>
        <v>742.72306776217829</v>
      </c>
      <c r="I1272">
        <f t="shared" si="117"/>
        <v>5.5555555555555556E-4</v>
      </c>
      <c r="J1272">
        <f t="shared" si="118"/>
        <v>0.15946955972222196</v>
      </c>
      <c r="K1272">
        <f t="shared" si="119"/>
        <v>1.7825353626292282</v>
      </c>
    </row>
    <row r="1273" spans="1:11" x14ac:dyDescent="0.35">
      <c r="A1273" s="5" t="s">
        <v>8</v>
      </c>
      <c r="B1273" s="5">
        <v>1270</v>
      </c>
      <c r="C1273" s="5">
        <v>248</v>
      </c>
      <c r="D1273" s="16">
        <v>79.599999999999994</v>
      </c>
      <c r="E1273" s="1">
        <f t="shared" si="114"/>
        <v>-6.9444444444444448E-2</v>
      </c>
      <c r="F1273">
        <f t="shared" si="115"/>
        <v>95.515783851851836</v>
      </c>
      <c r="G1273">
        <f t="shared" si="116"/>
        <v>740.86160643946607</v>
      </c>
      <c r="I1273">
        <f t="shared" si="117"/>
        <v>5.5555555555555556E-4</v>
      </c>
      <c r="J1273">
        <f t="shared" si="118"/>
        <v>0.13266081090534979</v>
      </c>
      <c r="K1273">
        <f t="shared" si="119"/>
        <v>1.7780678554547185</v>
      </c>
    </row>
    <row r="1274" spans="1:11" x14ac:dyDescent="0.35">
      <c r="A1274" s="5" t="s">
        <v>8</v>
      </c>
      <c r="B1274" s="5">
        <v>1271</v>
      </c>
      <c r="C1274" s="5">
        <v>249</v>
      </c>
      <c r="D1274" s="16">
        <v>79.3</v>
      </c>
      <c r="E1274" s="1">
        <f t="shared" si="114"/>
        <v>-9.7222222222220642E-2</v>
      </c>
      <c r="F1274">
        <f t="shared" si="115"/>
        <v>82.397090824074795</v>
      </c>
      <c r="G1274">
        <f t="shared" si="116"/>
        <v>738.06941445539769</v>
      </c>
      <c r="I1274">
        <f t="shared" si="117"/>
        <v>5.5555555555555556E-4</v>
      </c>
      <c r="J1274">
        <f t="shared" si="118"/>
        <v>0.1144404039223261</v>
      </c>
      <c r="K1274">
        <f t="shared" si="119"/>
        <v>1.7713665946929544</v>
      </c>
    </row>
    <row r="1275" spans="1:11" x14ac:dyDescent="0.35">
      <c r="A1275" s="5" t="s">
        <v>8</v>
      </c>
      <c r="B1275" s="5">
        <v>1272</v>
      </c>
      <c r="C1275" s="5">
        <v>250</v>
      </c>
      <c r="D1275" s="16">
        <v>78.900000000000006</v>
      </c>
      <c r="E1275" s="1">
        <f t="shared" si="114"/>
        <v>-0.11111111111111072</v>
      </c>
      <c r="F1275">
        <f t="shared" si="115"/>
        <v>75.463710750000189</v>
      </c>
      <c r="G1275">
        <f t="shared" si="116"/>
        <v>734.34649180997326</v>
      </c>
      <c r="I1275">
        <f t="shared" si="117"/>
        <v>5.5555555555555556E-4</v>
      </c>
      <c r="J1275">
        <f t="shared" si="118"/>
        <v>0.10481070937500027</v>
      </c>
      <c r="K1275">
        <f t="shared" si="119"/>
        <v>1.7624315803439359</v>
      </c>
    </row>
    <row r="1276" spans="1:11" x14ac:dyDescent="0.35">
      <c r="A1276" s="5" t="s">
        <v>8</v>
      </c>
      <c r="B1276" s="5">
        <v>1273</v>
      </c>
      <c r="C1276" s="5">
        <v>251</v>
      </c>
      <c r="D1276" s="16">
        <v>78.5</v>
      </c>
      <c r="E1276" s="1">
        <f t="shared" si="114"/>
        <v>-9.7222222222222612E-2</v>
      </c>
      <c r="F1276">
        <f t="shared" si="115"/>
        <v>81.200031712962783</v>
      </c>
      <c r="G1276">
        <f t="shared" si="116"/>
        <v>730.62356916454883</v>
      </c>
      <c r="I1276">
        <f t="shared" si="117"/>
        <v>5.5555555555555556E-4</v>
      </c>
      <c r="J1276">
        <f t="shared" si="118"/>
        <v>0.11277782182355942</v>
      </c>
      <c r="K1276">
        <f t="shared" si="119"/>
        <v>1.7534965659949173</v>
      </c>
    </row>
    <row r="1277" spans="1:11" x14ac:dyDescent="0.35">
      <c r="A1277" s="5" t="s">
        <v>8</v>
      </c>
      <c r="B1277" s="5">
        <v>1274</v>
      </c>
      <c r="C1277" s="5">
        <v>252</v>
      </c>
      <c r="D1277" s="16">
        <v>78.2</v>
      </c>
      <c r="E1277" s="1">
        <f t="shared" si="114"/>
        <v>-8.3333333333332538E-2</v>
      </c>
      <c r="F1277">
        <f t="shared" si="115"/>
        <v>87.087597074074424</v>
      </c>
      <c r="G1277">
        <f t="shared" si="116"/>
        <v>727.83137718048044</v>
      </c>
      <c r="I1277">
        <f t="shared" si="117"/>
        <v>5.5555555555555556E-4</v>
      </c>
      <c r="J1277">
        <f t="shared" si="118"/>
        <v>0.12095499593621448</v>
      </c>
      <c r="K1277">
        <f t="shared" si="119"/>
        <v>1.7467953052331531</v>
      </c>
    </row>
    <row r="1278" spans="1:11" x14ac:dyDescent="0.35">
      <c r="A1278" s="5" t="s">
        <v>8</v>
      </c>
      <c r="B1278" s="5">
        <v>1275</v>
      </c>
      <c r="C1278" s="5">
        <v>253</v>
      </c>
      <c r="D1278" s="16">
        <v>77.900000000000006</v>
      </c>
      <c r="E1278" s="1">
        <f t="shared" si="114"/>
        <v>-6.9444444444444448E-2</v>
      </c>
      <c r="F1278">
        <f t="shared" si="115"/>
        <v>92.976869268518513</v>
      </c>
      <c r="G1278">
        <f t="shared" si="116"/>
        <v>725.03918519641218</v>
      </c>
      <c r="I1278">
        <f t="shared" si="117"/>
        <v>5.5555555555555556E-4</v>
      </c>
      <c r="J1278">
        <f t="shared" si="118"/>
        <v>0.12913454065072016</v>
      </c>
      <c r="K1278">
        <f t="shared" si="119"/>
        <v>1.7400940444713893</v>
      </c>
    </row>
    <row r="1279" spans="1:11" x14ac:dyDescent="0.35">
      <c r="A1279" s="5" t="s">
        <v>8</v>
      </c>
      <c r="B1279" s="5">
        <v>1276</v>
      </c>
      <c r="C1279" s="5">
        <v>254</v>
      </c>
      <c r="D1279" s="16">
        <v>77.7</v>
      </c>
      <c r="E1279" s="1">
        <f t="shared" si="114"/>
        <v>-2.7777777777778172E-2</v>
      </c>
      <c r="F1279">
        <f t="shared" si="115"/>
        <v>111.68177674999981</v>
      </c>
      <c r="G1279">
        <f t="shared" si="116"/>
        <v>723.17772387369996</v>
      </c>
      <c r="I1279">
        <f t="shared" si="117"/>
        <v>5.5555555555555556E-4</v>
      </c>
      <c r="J1279">
        <f t="shared" si="118"/>
        <v>0.15511357881944418</v>
      </c>
      <c r="K1279">
        <f t="shared" si="119"/>
        <v>1.73562653729688</v>
      </c>
    </row>
    <row r="1280" spans="1:11" x14ac:dyDescent="0.35">
      <c r="A1280" s="5" t="s">
        <v>8</v>
      </c>
      <c r="B1280" s="5">
        <v>1277</v>
      </c>
      <c r="C1280" s="5">
        <v>255</v>
      </c>
      <c r="D1280" s="16">
        <v>77.7</v>
      </c>
      <c r="E1280" s="1">
        <f t="shared" si="114"/>
        <v>1.3888888888888099E-2</v>
      </c>
      <c r="F1280">
        <f t="shared" si="115"/>
        <v>130.68177674999964</v>
      </c>
      <c r="G1280">
        <f t="shared" si="116"/>
        <v>723.17772387369996</v>
      </c>
      <c r="I1280">
        <f t="shared" si="117"/>
        <v>5.5555555555555556E-4</v>
      </c>
      <c r="J1280">
        <f t="shared" si="118"/>
        <v>0.18150246770833284</v>
      </c>
      <c r="K1280">
        <f t="shared" si="119"/>
        <v>1.73562653729688</v>
      </c>
    </row>
    <row r="1281" spans="1:11" x14ac:dyDescent="0.35">
      <c r="A1281" s="5" t="s">
        <v>8</v>
      </c>
      <c r="B1281" s="5">
        <v>1278</v>
      </c>
      <c r="C1281" s="5">
        <v>256</v>
      </c>
      <c r="D1281" s="16">
        <v>77.8</v>
      </c>
      <c r="E1281" s="1">
        <f t="shared" si="114"/>
        <v>2.7777777777778172E-2</v>
      </c>
      <c r="F1281">
        <f t="shared" si="115"/>
        <v>137.16256151851869</v>
      </c>
      <c r="G1281">
        <f t="shared" si="116"/>
        <v>724.10845453505601</v>
      </c>
      <c r="I1281">
        <f t="shared" si="117"/>
        <v>5.5555555555555556E-4</v>
      </c>
      <c r="J1281">
        <f t="shared" si="118"/>
        <v>0.19050355766460927</v>
      </c>
      <c r="K1281">
        <f t="shared" si="119"/>
        <v>1.7378602908841345</v>
      </c>
    </row>
    <row r="1282" spans="1:11" x14ac:dyDescent="0.35">
      <c r="A1282" s="5" t="s">
        <v>8</v>
      </c>
      <c r="B1282" s="5">
        <v>1279</v>
      </c>
      <c r="C1282" s="5">
        <v>257</v>
      </c>
      <c r="D1282" s="16">
        <v>77.900000000000006</v>
      </c>
      <c r="E1282" s="1">
        <f t="shared" si="114"/>
        <v>4.1666666666666269E-2</v>
      </c>
      <c r="F1282">
        <f t="shared" si="115"/>
        <v>143.64353593518499</v>
      </c>
      <c r="G1282">
        <f t="shared" si="116"/>
        <v>725.03918519641218</v>
      </c>
      <c r="I1282">
        <f t="shared" si="117"/>
        <v>5.5555555555555556E-4</v>
      </c>
      <c r="J1282">
        <f t="shared" si="118"/>
        <v>0.19950491102109025</v>
      </c>
      <c r="K1282">
        <f t="shared" si="119"/>
        <v>1.7400940444713893</v>
      </c>
    </row>
    <row r="1283" spans="1:11" x14ac:dyDescent="0.35">
      <c r="A1283" s="5" t="s">
        <v>8</v>
      </c>
      <c r="B1283" s="5">
        <v>1280</v>
      </c>
      <c r="C1283" s="5">
        <v>258</v>
      </c>
      <c r="D1283" s="16">
        <v>78.099999999999994</v>
      </c>
      <c r="E1283" s="1">
        <f t="shared" si="114"/>
        <v>5.5555555555554373E-2</v>
      </c>
      <c r="F1283">
        <f t="shared" si="115"/>
        <v>150.27272037962905</v>
      </c>
      <c r="G1283">
        <f t="shared" si="116"/>
        <v>726.90064651912439</v>
      </c>
      <c r="I1283">
        <f t="shared" si="117"/>
        <v>5.5555555555555556E-4</v>
      </c>
      <c r="J1283">
        <f t="shared" si="118"/>
        <v>0.20871211163837369</v>
      </c>
      <c r="K1283">
        <f t="shared" si="119"/>
        <v>1.7445615516458988</v>
      </c>
    </row>
    <row r="1284" spans="1:11" x14ac:dyDescent="0.35">
      <c r="A1284" s="5" t="s">
        <v>8</v>
      </c>
      <c r="B1284" s="5">
        <v>1281</v>
      </c>
      <c r="C1284" s="5">
        <v>259</v>
      </c>
      <c r="D1284" s="16">
        <v>78.3</v>
      </c>
      <c r="E1284" s="1">
        <f t="shared" si="114"/>
        <v>2.7777777777778172E-2</v>
      </c>
      <c r="F1284">
        <f t="shared" si="115"/>
        <v>137.90266341666683</v>
      </c>
      <c r="G1284">
        <f t="shared" si="116"/>
        <v>728.76210784183661</v>
      </c>
      <c r="I1284">
        <f t="shared" si="117"/>
        <v>5.5555555555555556E-4</v>
      </c>
      <c r="J1284">
        <f t="shared" si="118"/>
        <v>0.19153147696759282</v>
      </c>
      <c r="K1284">
        <f t="shared" si="119"/>
        <v>1.749029058820408</v>
      </c>
    </row>
    <row r="1285" spans="1:11" x14ac:dyDescent="0.35">
      <c r="A1285" s="5" t="s">
        <v>8</v>
      </c>
      <c r="B1285" s="5">
        <v>1282</v>
      </c>
      <c r="C1285" s="5">
        <v>260</v>
      </c>
      <c r="D1285" s="16">
        <v>78.3</v>
      </c>
      <c r="E1285" s="1">
        <f t="shared" ref="E1285:E1348" si="120">($D1286-$D1284)/2/3.6</f>
        <v>1.3888888888890073E-2</v>
      </c>
      <c r="F1285">
        <f t="shared" ref="F1285:F1348" si="121">IF(D1285=0,0,MAX(0,0.285*(1600*E1285 + 1600*9.81*0.015 + 0.5*1.225*0.32*2.2*(D1285/3.6)^2)))</f>
        <v>131.56933008333385</v>
      </c>
      <c r="G1285">
        <f t="shared" ref="G1285:G1348" si="122">60*D1285/(2*PI()*3.6*0.285)</f>
        <v>728.76210784183661</v>
      </c>
      <c r="I1285">
        <f t="shared" ref="I1285:I1348" si="123">1/1800</f>
        <v>5.5555555555555556E-4</v>
      </c>
      <c r="J1285">
        <f t="shared" ref="J1285:J1348" si="124">F1285/(M$3*3.6)</f>
        <v>0.18273518067129702</v>
      </c>
      <c r="K1285">
        <f t="shared" ref="K1285:K1348" si="125">G1285*3.6/N$3</f>
        <v>1.749029058820408</v>
      </c>
    </row>
    <row r="1286" spans="1:11" x14ac:dyDescent="0.35">
      <c r="A1286" s="5" t="s">
        <v>8</v>
      </c>
      <c r="B1286" s="5">
        <v>1283</v>
      </c>
      <c r="C1286" s="5">
        <v>261</v>
      </c>
      <c r="D1286" s="16">
        <v>78.400000000000006</v>
      </c>
      <c r="E1286" s="1">
        <f t="shared" si="120"/>
        <v>1.3888888888890073E-2</v>
      </c>
      <c r="F1286">
        <f t="shared" si="121"/>
        <v>131.71791940740795</v>
      </c>
      <c r="G1286">
        <f t="shared" si="122"/>
        <v>729.69283850319277</v>
      </c>
      <c r="I1286">
        <f t="shared" si="123"/>
        <v>5.5555555555555556E-4</v>
      </c>
      <c r="J1286">
        <f t="shared" si="124"/>
        <v>0.18294155473251103</v>
      </c>
      <c r="K1286">
        <f t="shared" si="125"/>
        <v>1.7512628124076628</v>
      </c>
    </row>
    <row r="1287" spans="1:11" x14ac:dyDescent="0.35">
      <c r="A1287" s="5" t="s">
        <v>8</v>
      </c>
      <c r="B1287" s="5">
        <v>1284</v>
      </c>
      <c r="C1287" s="5">
        <v>262</v>
      </c>
      <c r="D1287" s="16">
        <v>78.400000000000006</v>
      </c>
      <c r="E1287" s="1">
        <f t="shared" si="120"/>
        <v>0</v>
      </c>
      <c r="F1287">
        <f t="shared" si="121"/>
        <v>125.38458607407406</v>
      </c>
      <c r="G1287">
        <f t="shared" si="122"/>
        <v>729.69283850319277</v>
      </c>
      <c r="I1287">
        <f t="shared" si="123"/>
        <v>5.5555555555555556E-4</v>
      </c>
      <c r="J1287">
        <f t="shared" si="124"/>
        <v>0.17414525843621398</v>
      </c>
      <c r="K1287">
        <f t="shared" si="125"/>
        <v>1.7512628124076628</v>
      </c>
    </row>
    <row r="1288" spans="1:11" x14ac:dyDescent="0.35">
      <c r="A1288" s="5" t="s">
        <v>8</v>
      </c>
      <c r="B1288" s="5">
        <v>1285</v>
      </c>
      <c r="C1288" s="5">
        <v>263</v>
      </c>
      <c r="D1288" s="16">
        <v>78.400000000000006</v>
      </c>
      <c r="E1288" s="1">
        <f t="shared" si="120"/>
        <v>-2.7777777777778172E-2</v>
      </c>
      <c r="F1288">
        <f t="shared" si="121"/>
        <v>112.71791940740724</v>
      </c>
      <c r="G1288">
        <f t="shared" si="122"/>
        <v>729.69283850319277</v>
      </c>
      <c r="I1288">
        <f t="shared" si="123"/>
        <v>5.5555555555555556E-4</v>
      </c>
      <c r="J1288">
        <f t="shared" si="124"/>
        <v>0.15655266584362115</v>
      </c>
      <c r="K1288">
        <f t="shared" si="125"/>
        <v>1.7512628124076628</v>
      </c>
    </row>
    <row r="1289" spans="1:11" x14ac:dyDescent="0.35">
      <c r="A1289" s="5" t="s">
        <v>8</v>
      </c>
      <c r="B1289" s="5">
        <v>1286</v>
      </c>
      <c r="C1289" s="5">
        <v>264</v>
      </c>
      <c r="D1289" s="16">
        <v>78.2</v>
      </c>
      <c r="E1289" s="1">
        <f t="shared" si="120"/>
        <v>-5.5555555555556344E-2</v>
      </c>
      <c r="F1289">
        <f t="shared" si="121"/>
        <v>99.754263740740384</v>
      </c>
      <c r="G1289">
        <f t="shared" si="122"/>
        <v>727.83137718048044</v>
      </c>
      <c r="I1289">
        <f t="shared" si="123"/>
        <v>5.5555555555555556E-4</v>
      </c>
      <c r="J1289">
        <f t="shared" si="124"/>
        <v>0.13854758852880608</v>
      </c>
      <c r="K1289">
        <f t="shared" si="125"/>
        <v>1.7467953052331531</v>
      </c>
    </row>
    <row r="1290" spans="1:11" x14ac:dyDescent="0.35">
      <c r="A1290" s="5" t="s">
        <v>8</v>
      </c>
      <c r="B1290" s="5">
        <v>1287</v>
      </c>
      <c r="C1290" s="5">
        <v>265</v>
      </c>
      <c r="D1290" s="16">
        <v>78</v>
      </c>
      <c r="E1290" s="1">
        <f t="shared" si="120"/>
        <v>-6.9444444444444448E-2</v>
      </c>
      <c r="F1290">
        <f t="shared" si="121"/>
        <v>93.12469999999999</v>
      </c>
      <c r="G1290">
        <f t="shared" si="122"/>
        <v>725.96991585776823</v>
      </c>
      <c r="I1290">
        <f t="shared" si="123"/>
        <v>5.5555555555555556E-4</v>
      </c>
      <c r="J1290">
        <f t="shared" si="124"/>
        <v>0.12933986111111109</v>
      </c>
      <c r="K1290">
        <f t="shared" si="125"/>
        <v>1.7423277980586438</v>
      </c>
    </row>
    <row r="1291" spans="1:11" x14ac:dyDescent="0.35">
      <c r="A1291" s="5" t="s">
        <v>8</v>
      </c>
      <c r="B1291" s="5">
        <v>1288</v>
      </c>
      <c r="C1291" s="5">
        <v>266</v>
      </c>
      <c r="D1291" s="16">
        <v>77.7</v>
      </c>
      <c r="E1291" s="1">
        <f t="shared" si="120"/>
        <v>-9.7222222222222612E-2</v>
      </c>
      <c r="F1291">
        <f t="shared" si="121"/>
        <v>80.015110083333155</v>
      </c>
      <c r="G1291">
        <f t="shared" si="122"/>
        <v>723.17772387369996</v>
      </c>
      <c r="I1291">
        <f t="shared" si="123"/>
        <v>5.5555555555555556E-4</v>
      </c>
      <c r="J1291">
        <f t="shared" si="124"/>
        <v>0.11113209733796271</v>
      </c>
      <c r="K1291">
        <f t="shared" si="125"/>
        <v>1.73562653729688</v>
      </c>
    </row>
    <row r="1292" spans="1:11" x14ac:dyDescent="0.35">
      <c r="A1292" s="5" t="s">
        <v>8</v>
      </c>
      <c r="B1292" s="5">
        <v>1289</v>
      </c>
      <c r="C1292" s="5">
        <v>267</v>
      </c>
      <c r="D1292" s="16">
        <v>77.3</v>
      </c>
      <c r="E1292" s="1">
        <f t="shared" si="120"/>
        <v>-0.11111111111111072</v>
      </c>
      <c r="F1292">
        <f t="shared" si="121"/>
        <v>73.093867490740891</v>
      </c>
      <c r="G1292">
        <f t="shared" si="122"/>
        <v>719.45480122827553</v>
      </c>
      <c r="I1292">
        <f t="shared" si="123"/>
        <v>5.5555555555555556E-4</v>
      </c>
      <c r="J1292">
        <f t="shared" si="124"/>
        <v>0.10151926040380679</v>
      </c>
      <c r="K1292">
        <f t="shared" si="125"/>
        <v>1.7266915229478612</v>
      </c>
    </row>
    <row r="1293" spans="1:11" x14ac:dyDescent="0.35">
      <c r="A1293" s="5" t="s">
        <v>8</v>
      </c>
      <c r="B1293" s="5">
        <v>1290</v>
      </c>
      <c r="C1293" s="5">
        <v>268</v>
      </c>
      <c r="D1293" s="16">
        <v>76.900000000000006</v>
      </c>
      <c r="E1293" s="1">
        <f t="shared" si="120"/>
        <v>-9.7222222222222612E-2</v>
      </c>
      <c r="F1293">
        <f t="shared" si="121"/>
        <v>78.842325935184988</v>
      </c>
      <c r="G1293">
        <f t="shared" si="122"/>
        <v>715.73187858285098</v>
      </c>
      <c r="I1293">
        <f t="shared" si="123"/>
        <v>5.5555555555555556E-4</v>
      </c>
      <c r="J1293">
        <f t="shared" si="124"/>
        <v>0.1095032304655347</v>
      </c>
      <c r="K1293">
        <f t="shared" si="125"/>
        <v>1.7177565085988424</v>
      </c>
    </row>
    <row r="1294" spans="1:11" x14ac:dyDescent="0.35">
      <c r="A1294" s="5" t="s">
        <v>8</v>
      </c>
      <c r="B1294" s="5">
        <v>1291</v>
      </c>
      <c r="C1294" s="5">
        <v>269</v>
      </c>
      <c r="D1294" s="16">
        <v>76.599999999999994</v>
      </c>
      <c r="E1294" s="1">
        <f t="shared" si="120"/>
        <v>-9.7222222222222612E-2</v>
      </c>
      <c r="F1294">
        <f t="shared" si="121"/>
        <v>78.40566107407389</v>
      </c>
      <c r="G1294">
        <f t="shared" si="122"/>
        <v>712.93968659878271</v>
      </c>
      <c r="I1294">
        <f t="shared" si="123"/>
        <v>5.5555555555555556E-4</v>
      </c>
      <c r="J1294">
        <f t="shared" si="124"/>
        <v>0.10889675149176929</v>
      </c>
      <c r="K1294">
        <f t="shared" si="125"/>
        <v>1.7110552478370786</v>
      </c>
    </row>
    <row r="1295" spans="1:11" x14ac:dyDescent="0.35">
      <c r="A1295" s="5" t="s">
        <v>8</v>
      </c>
      <c r="B1295" s="5">
        <v>1292</v>
      </c>
      <c r="C1295" s="5">
        <v>270</v>
      </c>
      <c r="D1295" s="16">
        <v>76.2</v>
      </c>
      <c r="E1295" s="1">
        <f t="shared" si="120"/>
        <v>-0.12499999999999881</v>
      </c>
      <c r="F1295">
        <f t="shared" si="121"/>
        <v>65.159429666667208</v>
      </c>
      <c r="G1295">
        <f t="shared" si="122"/>
        <v>709.21676395335828</v>
      </c>
      <c r="I1295">
        <f t="shared" si="123"/>
        <v>5.5555555555555556E-4</v>
      </c>
      <c r="J1295">
        <f t="shared" si="124"/>
        <v>9.0499207870371121E-2</v>
      </c>
      <c r="K1295">
        <f t="shared" si="125"/>
        <v>1.7021202334880601</v>
      </c>
    </row>
    <row r="1296" spans="1:11" x14ac:dyDescent="0.35">
      <c r="A1296" s="5" t="s">
        <v>8</v>
      </c>
      <c r="B1296" s="5">
        <v>1293</v>
      </c>
      <c r="C1296" s="5">
        <v>271</v>
      </c>
      <c r="D1296" s="16">
        <v>75.7</v>
      </c>
      <c r="E1296" s="1">
        <f t="shared" si="120"/>
        <v>-0.1388888888888889</v>
      </c>
      <c r="F1296">
        <f t="shared" si="121"/>
        <v>58.105907490740741</v>
      </c>
      <c r="G1296">
        <f t="shared" si="122"/>
        <v>704.56311064657768</v>
      </c>
      <c r="I1296">
        <f t="shared" si="123"/>
        <v>5.5555555555555556E-4</v>
      </c>
      <c r="J1296">
        <f t="shared" si="124"/>
        <v>8.0702649292695466E-2</v>
      </c>
      <c r="K1296">
        <f t="shared" si="125"/>
        <v>1.6909514655517865</v>
      </c>
    </row>
    <row r="1297" spans="1:11" x14ac:dyDescent="0.35">
      <c r="A1297" s="5" t="s">
        <v>8</v>
      </c>
      <c r="B1297" s="5">
        <v>1294</v>
      </c>
      <c r="C1297" s="5">
        <v>272</v>
      </c>
      <c r="D1297" s="16">
        <v>75.2</v>
      </c>
      <c r="E1297" s="1">
        <f t="shared" si="120"/>
        <v>-0.1388888888888889</v>
      </c>
      <c r="F1297">
        <f t="shared" si="121"/>
        <v>57.390459851851844</v>
      </c>
      <c r="G1297">
        <f t="shared" si="122"/>
        <v>699.90945733979709</v>
      </c>
      <c r="I1297">
        <f t="shared" si="123"/>
        <v>5.5555555555555556E-4</v>
      </c>
      <c r="J1297">
        <f t="shared" si="124"/>
        <v>7.9708972016460891E-2</v>
      </c>
      <c r="K1297">
        <f t="shared" si="125"/>
        <v>1.679782697615513</v>
      </c>
    </row>
    <row r="1298" spans="1:11" x14ac:dyDescent="0.35">
      <c r="A1298" s="5" t="s">
        <v>8</v>
      </c>
      <c r="B1298" s="5">
        <v>1295</v>
      </c>
      <c r="C1298" s="5">
        <v>273</v>
      </c>
      <c r="D1298" s="16">
        <v>74.7</v>
      </c>
      <c r="E1298" s="1">
        <f t="shared" si="120"/>
        <v>-0.11111111111111072</v>
      </c>
      <c r="F1298">
        <f t="shared" si="121"/>
        <v>69.346420083333513</v>
      </c>
      <c r="G1298">
        <f t="shared" si="122"/>
        <v>695.25580403301649</v>
      </c>
      <c r="I1298">
        <f t="shared" si="123"/>
        <v>5.5555555555555556E-4</v>
      </c>
      <c r="J1298">
        <f t="shared" si="124"/>
        <v>9.6314472337963211E-2</v>
      </c>
      <c r="K1298">
        <f t="shared" si="125"/>
        <v>1.6686139296792395</v>
      </c>
    </row>
    <row r="1299" spans="1:11" x14ac:dyDescent="0.35">
      <c r="A1299" s="5" t="s">
        <v>8</v>
      </c>
      <c r="B1299" s="5">
        <v>1296</v>
      </c>
      <c r="C1299" s="5">
        <v>274</v>
      </c>
      <c r="D1299" s="16">
        <v>74.400000000000006</v>
      </c>
      <c r="E1299" s="1">
        <f t="shared" si="120"/>
        <v>-5.5555555555556344E-2</v>
      </c>
      <c r="F1299">
        <f t="shared" si="121"/>
        <v>94.25560533333298</v>
      </c>
      <c r="G1299">
        <f t="shared" si="122"/>
        <v>692.46361204894822</v>
      </c>
      <c r="I1299">
        <f t="shared" si="123"/>
        <v>5.5555555555555556E-4</v>
      </c>
      <c r="J1299">
        <f t="shared" si="124"/>
        <v>0.13091056296296247</v>
      </c>
      <c r="K1299">
        <f t="shared" si="125"/>
        <v>1.6619126689174757</v>
      </c>
    </row>
    <row r="1300" spans="1:11" x14ac:dyDescent="0.35">
      <c r="A1300" s="5" t="s">
        <v>8</v>
      </c>
      <c r="B1300" s="5">
        <v>1297</v>
      </c>
      <c r="C1300" s="5">
        <v>275</v>
      </c>
      <c r="D1300" s="16">
        <v>74.3</v>
      </c>
      <c r="E1300" s="1">
        <f t="shared" si="120"/>
        <v>0</v>
      </c>
      <c r="F1300">
        <f t="shared" si="121"/>
        <v>119.44793526851851</v>
      </c>
      <c r="G1300">
        <f t="shared" si="122"/>
        <v>691.53288138759206</v>
      </c>
      <c r="I1300">
        <f t="shared" si="123"/>
        <v>5.5555555555555556E-4</v>
      </c>
      <c r="J1300">
        <f t="shared" si="124"/>
        <v>0.16589991009516458</v>
      </c>
      <c r="K1300">
        <f t="shared" si="125"/>
        <v>1.6596789153302209</v>
      </c>
    </row>
    <row r="1301" spans="1:11" x14ac:dyDescent="0.35">
      <c r="A1301" s="5" t="s">
        <v>8</v>
      </c>
      <c r="B1301" s="5">
        <v>1298</v>
      </c>
      <c r="C1301" s="5">
        <v>276</v>
      </c>
      <c r="D1301" s="16">
        <v>74.400000000000006</v>
      </c>
      <c r="E1301" s="1">
        <f t="shared" si="120"/>
        <v>4.1666666666666269E-2</v>
      </c>
      <c r="F1301">
        <f t="shared" si="121"/>
        <v>138.58893866666648</v>
      </c>
      <c r="G1301">
        <f t="shared" si="122"/>
        <v>692.46361204894822</v>
      </c>
      <c r="I1301">
        <f t="shared" si="123"/>
        <v>5.5555555555555556E-4</v>
      </c>
      <c r="J1301">
        <f t="shared" si="124"/>
        <v>0.19248463703703678</v>
      </c>
      <c r="K1301">
        <f t="shared" si="125"/>
        <v>1.6619126689174757</v>
      </c>
    </row>
    <row r="1302" spans="1:11" x14ac:dyDescent="0.35">
      <c r="A1302" s="5" t="s">
        <v>8</v>
      </c>
      <c r="B1302" s="5">
        <v>1299</v>
      </c>
      <c r="C1302" s="5">
        <v>277</v>
      </c>
      <c r="D1302" s="16">
        <v>74.599999999999994</v>
      </c>
      <c r="E1302" s="1">
        <f t="shared" si="120"/>
        <v>6.9444444444444448E-2</v>
      </c>
      <c r="F1302">
        <f t="shared" si="121"/>
        <v>151.53818107407409</v>
      </c>
      <c r="G1302">
        <f t="shared" si="122"/>
        <v>694.32507337166044</v>
      </c>
      <c r="I1302">
        <f t="shared" si="123"/>
        <v>5.5555555555555556E-4</v>
      </c>
      <c r="J1302">
        <f t="shared" si="124"/>
        <v>0.21046969593621401</v>
      </c>
      <c r="K1302">
        <f t="shared" si="125"/>
        <v>1.666380176091985</v>
      </c>
    </row>
    <row r="1303" spans="1:11" x14ac:dyDescent="0.35">
      <c r="A1303" s="5" t="s">
        <v>8</v>
      </c>
      <c r="B1303" s="5">
        <v>1300</v>
      </c>
      <c r="C1303" s="5">
        <v>278</v>
      </c>
      <c r="D1303" s="16">
        <v>74.900000000000006</v>
      </c>
      <c r="E1303" s="1">
        <f t="shared" si="120"/>
        <v>6.9444444444444448E-2</v>
      </c>
      <c r="F1303">
        <f t="shared" si="121"/>
        <v>151.9634670462963</v>
      </c>
      <c r="G1303">
        <f t="shared" si="122"/>
        <v>697.11726535572882</v>
      </c>
      <c r="I1303">
        <f t="shared" si="123"/>
        <v>5.5555555555555556E-4</v>
      </c>
      <c r="J1303">
        <f t="shared" si="124"/>
        <v>0.21106037089763374</v>
      </c>
      <c r="K1303">
        <f t="shared" si="125"/>
        <v>1.6730814368537492</v>
      </c>
    </row>
    <row r="1304" spans="1:11" x14ac:dyDescent="0.35">
      <c r="A1304" s="5" t="s">
        <v>8</v>
      </c>
      <c r="B1304" s="5">
        <v>1301</v>
      </c>
      <c r="C1304" s="5">
        <v>279</v>
      </c>
      <c r="D1304" s="16">
        <v>75.099999999999994</v>
      </c>
      <c r="E1304" s="1">
        <f t="shared" si="120"/>
        <v>5.5555555555554373E-2</v>
      </c>
      <c r="F1304">
        <f t="shared" si="121"/>
        <v>145.91460593518462</v>
      </c>
      <c r="G1304">
        <f t="shared" si="122"/>
        <v>698.97872667844103</v>
      </c>
      <c r="I1304">
        <f t="shared" si="123"/>
        <v>5.5555555555555556E-4</v>
      </c>
      <c r="J1304">
        <f t="shared" si="124"/>
        <v>0.20265917490997865</v>
      </c>
      <c r="K1304">
        <f t="shared" si="125"/>
        <v>1.6775489440282585</v>
      </c>
    </row>
    <row r="1305" spans="1:11" x14ac:dyDescent="0.35">
      <c r="A1305" s="5" t="s">
        <v>8</v>
      </c>
      <c r="B1305" s="5">
        <v>1302</v>
      </c>
      <c r="C1305" s="5">
        <v>280</v>
      </c>
      <c r="D1305" s="16">
        <v>75.3</v>
      </c>
      <c r="E1305" s="1">
        <f t="shared" si="120"/>
        <v>5.5555555555556344E-2</v>
      </c>
      <c r="F1305">
        <f t="shared" si="121"/>
        <v>146.19983675000032</v>
      </c>
      <c r="G1305">
        <f t="shared" si="122"/>
        <v>700.84018800115325</v>
      </c>
      <c r="I1305">
        <f t="shared" si="123"/>
        <v>5.5555555555555556E-4</v>
      </c>
      <c r="J1305">
        <f t="shared" si="124"/>
        <v>0.20305532881944488</v>
      </c>
      <c r="K1305">
        <f t="shared" si="125"/>
        <v>1.6820164512027678</v>
      </c>
    </row>
    <row r="1306" spans="1:11" x14ac:dyDescent="0.35">
      <c r="A1306" s="5" t="s">
        <v>8</v>
      </c>
      <c r="B1306" s="5">
        <v>1303</v>
      </c>
      <c r="C1306" s="5">
        <v>281</v>
      </c>
      <c r="D1306" s="16">
        <v>75.5</v>
      </c>
      <c r="E1306" s="1">
        <f t="shared" si="120"/>
        <v>6.9444444444444448E-2</v>
      </c>
      <c r="F1306">
        <f t="shared" si="121"/>
        <v>152.81915949074073</v>
      </c>
      <c r="G1306">
        <f t="shared" si="122"/>
        <v>702.70164932386547</v>
      </c>
      <c r="I1306">
        <f t="shared" si="123"/>
        <v>5.5555555555555556E-4</v>
      </c>
      <c r="J1306">
        <f t="shared" si="124"/>
        <v>0.21224883262602878</v>
      </c>
      <c r="K1306">
        <f t="shared" si="125"/>
        <v>1.6864839583772773</v>
      </c>
    </row>
    <row r="1307" spans="1:11" x14ac:dyDescent="0.35">
      <c r="A1307" s="5" t="s">
        <v>8</v>
      </c>
      <c r="B1307" s="5">
        <v>1304</v>
      </c>
      <c r="C1307" s="5">
        <v>282</v>
      </c>
      <c r="D1307" s="16">
        <v>75.8</v>
      </c>
      <c r="E1307" s="1">
        <f t="shared" si="120"/>
        <v>5.5555555555556344E-2</v>
      </c>
      <c r="F1307">
        <f t="shared" si="121"/>
        <v>146.91623262962995</v>
      </c>
      <c r="G1307">
        <f t="shared" si="122"/>
        <v>705.49384130793374</v>
      </c>
      <c r="I1307">
        <f t="shared" si="123"/>
        <v>5.5555555555555556E-4</v>
      </c>
      <c r="J1307">
        <f t="shared" si="124"/>
        <v>0.20405032309670826</v>
      </c>
      <c r="K1307">
        <f t="shared" si="125"/>
        <v>1.6931852191390411</v>
      </c>
    </row>
    <row r="1308" spans="1:11" x14ac:dyDescent="0.35">
      <c r="A1308" s="5" t="s">
        <v>8</v>
      </c>
      <c r="B1308" s="5">
        <v>1305</v>
      </c>
      <c r="C1308" s="5">
        <v>283</v>
      </c>
      <c r="D1308" s="16">
        <v>75.900000000000006</v>
      </c>
      <c r="E1308" s="1">
        <f t="shared" si="120"/>
        <v>2.7777777777778172E-2</v>
      </c>
      <c r="F1308">
        <f t="shared" si="121"/>
        <v>134.39341408333351</v>
      </c>
      <c r="G1308">
        <f t="shared" si="122"/>
        <v>706.4245719692899</v>
      </c>
      <c r="I1308">
        <f t="shared" si="123"/>
        <v>5.5555555555555556E-4</v>
      </c>
      <c r="J1308">
        <f t="shared" si="124"/>
        <v>0.18665751956018542</v>
      </c>
      <c r="K1308">
        <f t="shared" si="125"/>
        <v>1.6954189727262958</v>
      </c>
    </row>
    <row r="1309" spans="1:11" x14ac:dyDescent="0.35">
      <c r="A1309" s="5" t="s">
        <v>8</v>
      </c>
      <c r="B1309" s="5">
        <v>1306</v>
      </c>
      <c r="C1309" s="5">
        <v>284</v>
      </c>
      <c r="D1309" s="16">
        <v>76</v>
      </c>
      <c r="E1309" s="1">
        <f t="shared" si="120"/>
        <v>1.3888888888888099E-2</v>
      </c>
      <c r="F1309">
        <f t="shared" si="121"/>
        <v>128.20411851851816</v>
      </c>
      <c r="G1309">
        <f t="shared" si="122"/>
        <v>707.35530263064595</v>
      </c>
      <c r="I1309">
        <f t="shared" si="123"/>
        <v>5.5555555555555556E-4</v>
      </c>
      <c r="J1309">
        <f t="shared" si="124"/>
        <v>0.17806127572016411</v>
      </c>
      <c r="K1309">
        <f t="shared" si="125"/>
        <v>1.6976527263135504</v>
      </c>
    </row>
    <row r="1310" spans="1:11" x14ac:dyDescent="0.35">
      <c r="A1310" s="5" t="s">
        <v>8</v>
      </c>
      <c r="B1310" s="5">
        <v>1307</v>
      </c>
      <c r="C1310" s="5">
        <v>285</v>
      </c>
      <c r="D1310" s="16">
        <v>76</v>
      </c>
      <c r="E1310" s="1">
        <f t="shared" si="120"/>
        <v>0</v>
      </c>
      <c r="F1310">
        <f t="shared" si="121"/>
        <v>121.87078518518517</v>
      </c>
      <c r="G1310">
        <f t="shared" si="122"/>
        <v>707.35530263064595</v>
      </c>
      <c r="I1310">
        <f t="shared" si="123"/>
        <v>5.5555555555555556E-4</v>
      </c>
      <c r="J1310">
        <f t="shared" si="124"/>
        <v>0.16926497942386828</v>
      </c>
      <c r="K1310">
        <f t="shared" si="125"/>
        <v>1.6976527263135504</v>
      </c>
    </row>
    <row r="1311" spans="1:11" x14ac:dyDescent="0.35">
      <c r="A1311" s="5" t="s">
        <v>8</v>
      </c>
      <c r="B1311" s="5">
        <v>1308</v>
      </c>
      <c r="C1311" s="5">
        <v>286</v>
      </c>
      <c r="D1311" s="16">
        <v>76</v>
      </c>
      <c r="E1311" s="1">
        <f t="shared" si="120"/>
        <v>-1.3888888888888099E-2</v>
      </c>
      <c r="F1311">
        <f t="shared" si="121"/>
        <v>115.53745185185221</v>
      </c>
      <c r="G1311">
        <f t="shared" si="122"/>
        <v>707.35530263064595</v>
      </c>
      <c r="I1311">
        <f t="shared" si="123"/>
        <v>5.5555555555555556E-4</v>
      </c>
      <c r="J1311">
        <f t="shared" si="124"/>
        <v>0.16046868312757251</v>
      </c>
      <c r="K1311">
        <f t="shared" si="125"/>
        <v>1.6976527263135504</v>
      </c>
    </row>
    <row r="1312" spans="1:11" x14ac:dyDescent="0.35">
      <c r="A1312" s="5" t="s">
        <v>8</v>
      </c>
      <c r="B1312" s="5">
        <v>1309</v>
      </c>
      <c r="C1312" s="5">
        <v>287</v>
      </c>
      <c r="D1312" s="16">
        <v>75.900000000000006</v>
      </c>
      <c r="E1312" s="1">
        <f t="shared" si="120"/>
        <v>-1.3888888888888099E-2</v>
      </c>
      <c r="F1312">
        <f t="shared" si="121"/>
        <v>115.39341408333371</v>
      </c>
      <c r="G1312">
        <f t="shared" si="122"/>
        <v>706.4245719692899</v>
      </c>
      <c r="I1312">
        <f t="shared" si="123"/>
        <v>5.5555555555555556E-4</v>
      </c>
      <c r="J1312">
        <f t="shared" si="124"/>
        <v>0.16026863067129682</v>
      </c>
      <c r="K1312">
        <f t="shared" si="125"/>
        <v>1.6954189727262958</v>
      </c>
    </row>
    <row r="1313" spans="1:11" x14ac:dyDescent="0.35">
      <c r="A1313" s="5" t="s">
        <v>8</v>
      </c>
      <c r="B1313" s="5">
        <v>1310</v>
      </c>
      <c r="C1313" s="5">
        <v>288</v>
      </c>
      <c r="D1313" s="16">
        <v>75.900000000000006</v>
      </c>
      <c r="E1313" s="1">
        <f t="shared" si="120"/>
        <v>-1.3888888888890073E-2</v>
      </c>
      <c r="F1313">
        <f t="shared" si="121"/>
        <v>115.3934140833328</v>
      </c>
      <c r="G1313">
        <f t="shared" si="122"/>
        <v>706.4245719692899</v>
      </c>
      <c r="I1313">
        <f t="shared" si="123"/>
        <v>5.5555555555555556E-4</v>
      </c>
      <c r="J1313">
        <f t="shared" si="124"/>
        <v>0.16026863067129554</v>
      </c>
      <c r="K1313">
        <f t="shared" si="125"/>
        <v>1.6954189727262958</v>
      </c>
    </row>
    <row r="1314" spans="1:11" x14ac:dyDescent="0.35">
      <c r="A1314" s="5" t="s">
        <v>8</v>
      </c>
      <c r="B1314" s="5">
        <v>1311</v>
      </c>
      <c r="C1314" s="5">
        <v>289</v>
      </c>
      <c r="D1314" s="16">
        <v>75.8</v>
      </c>
      <c r="E1314" s="1">
        <f t="shared" si="120"/>
        <v>-2.7777777777778172E-2</v>
      </c>
      <c r="F1314">
        <f t="shared" si="121"/>
        <v>108.91623262962943</v>
      </c>
      <c r="G1314">
        <f t="shared" si="122"/>
        <v>705.49384130793374</v>
      </c>
      <c r="I1314">
        <f t="shared" si="123"/>
        <v>5.5555555555555556E-4</v>
      </c>
      <c r="J1314">
        <f t="shared" si="124"/>
        <v>0.15127254531892978</v>
      </c>
      <c r="K1314">
        <f t="shared" si="125"/>
        <v>1.6931852191390411</v>
      </c>
    </row>
    <row r="1315" spans="1:11" x14ac:dyDescent="0.35">
      <c r="A1315" s="5" t="s">
        <v>8</v>
      </c>
      <c r="B1315" s="5">
        <v>1312</v>
      </c>
      <c r="C1315" s="5">
        <v>290</v>
      </c>
      <c r="D1315" s="16">
        <v>75.7</v>
      </c>
      <c r="E1315" s="1">
        <f t="shared" si="120"/>
        <v>-4.1666666666666269E-2</v>
      </c>
      <c r="F1315">
        <f t="shared" si="121"/>
        <v>102.43924082407426</v>
      </c>
      <c r="G1315">
        <f t="shared" si="122"/>
        <v>704.56311064657768</v>
      </c>
      <c r="I1315">
        <f t="shared" si="123"/>
        <v>5.5555555555555556E-4</v>
      </c>
      <c r="J1315">
        <f t="shared" si="124"/>
        <v>0.1422767233667698</v>
      </c>
      <c r="K1315">
        <f t="shared" si="125"/>
        <v>1.6909514655517865</v>
      </c>
    </row>
    <row r="1316" spans="1:11" x14ac:dyDescent="0.35">
      <c r="A1316" s="5" t="s">
        <v>8</v>
      </c>
      <c r="B1316" s="5">
        <v>1313</v>
      </c>
      <c r="C1316" s="5">
        <v>291</v>
      </c>
      <c r="D1316" s="16">
        <v>75.5</v>
      </c>
      <c r="E1316" s="1">
        <f t="shared" si="120"/>
        <v>-6.9444444444444448E-2</v>
      </c>
      <c r="F1316">
        <f t="shared" si="121"/>
        <v>89.485826157407402</v>
      </c>
      <c r="G1316">
        <f t="shared" si="122"/>
        <v>702.70164932386547</v>
      </c>
      <c r="I1316">
        <f t="shared" si="123"/>
        <v>5.5555555555555556E-4</v>
      </c>
      <c r="J1316">
        <f t="shared" si="124"/>
        <v>0.12428586966306583</v>
      </c>
      <c r="K1316">
        <f t="shared" si="125"/>
        <v>1.6864839583772773</v>
      </c>
    </row>
    <row r="1317" spans="1:11" x14ac:dyDescent="0.35">
      <c r="A1317" s="5" t="s">
        <v>8</v>
      </c>
      <c r="B1317" s="5">
        <v>1314</v>
      </c>
      <c r="C1317" s="5">
        <v>292</v>
      </c>
      <c r="D1317" s="16">
        <v>75.2</v>
      </c>
      <c r="E1317" s="1">
        <f t="shared" si="120"/>
        <v>-6.9444444444444448E-2</v>
      </c>
      <c r="F1317">
        <f t="shared" si="121"/>
        <v>89.057126518518515</v>
      </c>
      <c r="G1317">
        <f t="shared" si="122"/>
        <v>699.90945733979709</v>
      </c>
      <c r="I1317">
        <f t="shared" si="123"/>
        <v>5.5555555555555556E-4</v>
      </c>
      <c r="J1317">
        <f t="shared" si="124"/>
        <v>0.12369045349794239</v>
      </c>
      <c r="K1317">
        <f t="shared" si="125"/>
        <v>1.679782697615513</v>
      </c>
    </row>
    <row r="1318" spans="1:11" x14ac:dyDescent="0.35">
      <c r="A1318" s="5" t="s">
        <v>8</v>
      </c>
      <c r="B1318" s="5">
        <v>1315</v>
      </c>
      <c r="C1318" s="5">
        <v>293</v>
      </c>
      <c r="D1318" s="16">
        <v>75</v>
      </c>
      <c r="E1318" s="1">
        <f t="shared" si="120"/>
        <v>-6.9444444444444448E-2</v>
      </c>
      <c r="F1318">
        <f t="shared" si="121"/>
        <v>88.772274999999993</v>
      </c>
      <c r="G1318">
        <f t="shared" si="122"/>
        <v>698.04799601708487</v>
      </c>
      <c r="I1318">
        <f t="shared" si="123"/>
        <v>5.5555555555555556E-4</v>
      </c>
      <c r="J1318">
        <f t="shared" si="124"/>
        <v>0.12329482638888888</v>
      </c>
      <c r="K1318">
        <f t="shared" si="125"/>
        <v>1.6753151904410035</v>
      </c>
    </row>
    <row r="1319" spans="1:11" x14ac:dyDescent="0.35">
      <c r="A1319" s="5" t="s">
        <v>8</v>
      </c>
      <c r="B1319" s="5">
        <v>1316</v>
      </c>
      <c r="C1319" s="5">
        <v>294</v>
      </c>
      <c r="D1319" s="16">
        <v>74.7</v>
      </c>
      <c r="E1319" s="1">
        <f t="shared" si="120"/>
        <v>-0.12500000000000078</v>
      </c>
      <c r="F1319">
        <f t="shared" si="121"/>
        <v>63.013086749999644</v>
      </c>
      <c r="G1319">
        <f t="shared" si="122"/>
        <v>695.25580403301649</v>
      </c>
      <c r="I1319">
        <f t="shared" si="123"/>
        <v>5.5555555555555556E-4</v>
      </c>
      <c r="J1319">
        <f t="shared" si="124"/>
        <v>8.7518176041666174E-2</v>
      </c>
      <c r="K1319">
        <f t="shared" si="125"/>
        <v>1.6686139296792395</v>
      </c>
    </row>
    <row r="1320" spans="1:11" x14ac:dyDescent="0.35">
      <c r="A1320" s="5" t="s">
        <v>8</v>
      </c>
      <c r="B1320" s="5">
        <v>1317</v>
      </c>
      <c r="C1320" s="5">
        <v>295</v>
      </c>
      <c r="D1320" s="16">
        <v>74.099999999999994</v>
      </c>
      <c r="E1320" s="1">
        <f t="shared" si="120"/>
        <v>-0.1388888888888889</v>
      </c>
      <c r="F1320">
        <f t="shared" si="121"/>
        <v>55.83316408333333</v>
      </c>
      <c r="G1320">
        <f t="shared" si="122"/>
        <v>689.67142006487984</v>
      </c>
      <c r="I1320">
        <f t="shared" si="123"/>
        <v>5.5555555555555556E-4</v>
      </c>
      <c r="J1320">
        <f t="shared" si="124"/>
        <v>7.7546061226851842E-2</v>
      </c>
      <c r="K1320">
        <f t="shared" si="125"/>
        <v>1.6552114081557117</v>
      </c>
    </row>
    <row r="1321" spans="1:11" x14ac:dyDescent="0.35">
      <c r="A1321" s="5" t="s">
        <v>8</v>
      </c>
      <c r="B1321" s="5">
        <v>1318</v>
      </c>
      <c r="C1321" s="5">
        <v>296</v>
      </c>
      <c r="D1321" s="16">
        <v>73.7</v>
      </c>
      <c r="E1321" s="1">
        <f t="shared" si="120"/>
        <v>-0.11111111111111072</v>
      </c>
      <c r="F1321">
        <f t="shared" si="121"/>
        <v>67.939230824074244</v>
      </c>
      <c r="G1321">
        <f t="shared" si="122"/>
        <v>685.94849741945541</v>
      </c>
      <c r="I1321">
        <f t="shared" si="123"/>
        <v>5.5555555555555556E-4</v>
      </c>
      <c r="J1321">
        <f t="shared" si="124"/>
        <v>9.4360042811214226E-2</v>
      </c>
      <c r="K1321">
        <f t="shared" si="125"/>
        <v>1.6462763938066931</v>
      </c>
    </row>
    <row r="1322" spans="1:11" x14ac:dyDescent="0.35">
      <c r="A1322" s="5" t="s">
        <v>8</v>
      </c>
      <c r="B1322" s="5">
        <v>1319</v>
      </c>
      <c r="C1322" s="5">
        <v>297</v>
      </c>
      <c r="D1322" s="16">
        <v>73.3</v>
      </c>
      <c r="E1322" s="1">
        <f t="shared" si="120"/>
        <v>-2.7777777777778172E-2</v>
      </c>
      <c r="F1322">
        <f t="shared" si="121"/>
        <v>105.38166526851833</v>
      </c>
      <c r="G1322">
        <f t="shared" si="122"/>
        <v>682.22557477403097</v>
      </c>
      <c r="I1322">
        <f t="shared" si="123"/>
        <v>5.5555555555555556E-4</v>
      </c>
      <c r="J1322">
        <f t="shared" si="124"/>
        <v>0.14636342398405325</v>
      </c>
      <c r="K1322">
        <f t="shared" si="125"/>
        <v>1.6373413794576746</v>
      </c>
    </row>
    <row r="1323" spans="1:11" x14ac:dyDescent="0.35">
      <c r="A1323" s="5" t="s">
        <v>8</v>
      </c>
      <c r="B1323" s="5">
        <v>1320</v>
      </c>
      <c r="C1323" s="5">
        <v>298</v>
      </c>
      <c r="D1323" s="16">
        <v>73.5</v>
      </c>
      <c r="E1323" s="1">
        <f t="shared" si="120"/>
        <v>9.7222222222222612E-2</v>
      </c>
      <c r="F1323">
        <f t="shared" si="121"/>
        <v>162.66006875000016</v>
      </c>
      <c r="G1323">
        <f t="shared" si="122"/>
        <v>684.08703609674319</v>
      </c>
      <c r="I1323">
        <f t="shared" si="123"/>
        <v>5.5555555555555556E-4</v>
      </c>
      <c r="J1323">
        <f t="shared" si="124"/>
        <v>0.22591676215277801</v>
      </c>
      <c r="K1323">
        <f t="shared" si="125"/>
        <v>1.6418088866321838</v>
      </c>
    </row>
    <row r="1324" spans="1:11" x14ac:dyDescent="0.35">
      <c r="A1324" s="5" t="s">
        <v>8</v>
      </c>
      <c r="B1324" s="5">
        <v>1321</v>
      </c>
      <c r="C1324" s="5">
        <v>299</v>
      </c>
      <c r="D1324" s="16">
        <v>74</v>
      </c>
      <c r="E1324" s="1">
        <f t="shared" si="120"/>
        <v>0.19444444444444522</v>
      </c>
      <c r="F1324">
        <f t="shared" si="121"/>
        <v>207.69272962962995</v>
      </c>
      <c r="G1324">
        <f t="shared" si="122"/>
        <v>688.74068940352379</v>
      </c>
      <c r="I1324">
        <f t="shared" si="123"/>
        <v>5.5555555555555556E-4</v>
      </c>
      <c r="J1324">
        <f t="shared" si="124"/>
        <v>0.28846212448559716</v>
      </c>
      <c r="K1324">
        <f t="shared" si="125"/>
        <v>1.6529776545684571</v>
      </c>
    </row>
    <row r="1325" spans="1:11" x14ac:dyDescent="0.35">
      <c r="A1325" s="5" t="s">
        <v>8</v>
      </c>
      <c r="B1325" s="5">
        <v>1322</v>
      </c>
      <c r="C1325" s="5">
        <v>300</v>
      </c>
      <c r="D1325" s="16">
        <v>74.900000000000006</v>
      </c>
      <c r="E1325" s="1">
        <f t="shared" si="120"/>
        <v>0.29166666666666585</v>
      </c>
      <c r="F1325">
        <f t="shared" si="121"/>
        <v>253.29680037962925</v>
      </c>
      <c r="G1325">
        <f t="shared" si="122"/>
        <v>697.11726535572882</v>
      </c>
      <c r="I1325">
        <f t="shared" si="123"/>
        <v>5.5555555555555556E-4</v>
      </c>
      <c r="J1325">
        <f t="shared" si="124"/>
        <v>0.35180111163837396</v>
      </c>
      <c r="K1325">
        <f t="shared" si="125"/>
        <v>1.6730814368537492</v>
      </c>
    </row>
    <row r="1326" spans="1:11" x14ac:dyDescent="0.35">
      <c r="A1326" s="5" t="s">
        <v>8</v>
      </c>
      <c r="B1326" s="5">
        <v>1323</v>
      </c>
      <c r="C1326" s="5">
        <v>301</v>
      </c>
      <c r="D1326" s="16">
        <v>76.099999999999994</v>
      </c>
      <c r="E1326" s="1">
        <f t="shared" si="120"/>
        <v>0.38888888888888851</v>
      </c>
      <c r="F1326">
        <f t="shared" si="121"/>
        <v>299.34834593518497</v>
      </c>
      <c r="G1326">
        <f t="shared" si="122"/>
        <v>708.28603329200212</v>
      </c>
      <c r="I1326">
        <f t="shared" si="123"/>
        <v>5.5555555555555556E-4</v>
      </c>
      <c r="J1326">
        <f t="shared" si="124"/>
        <v>0.41576159157664577</v>
      </c>
      <c r="K1326">
        <f t="shared" si="125"/>
        <v>1.6998864799008051</v>
      </c>
    </row>
    <row r="1327" spans="1:11" x14ac:dyDescent="0.35">
      <c r="A1327" s="5" t="s">
        <v>8</v>
      </c>
      <c r="B1327" s="5">
        <v>1324</v>
      </c>
      <c r="C1327" s="5">
        <v>302</v>
      </c>
      <c r="D1327" s="16">
        <v>77.7</v>
      </c>
      <c r="E1327" s="1">
        <f t="shared" si="120"/>
        <v>0.43055555555555675</v>
      </c>
      <c r="F1327">
        <f t="shared" si="121"/>
        <v>320.68177675000049</v>
      </c>
      <c r="G1327">
        <f t="shared" si="122"/>
        <v>723.17772387369996</v>
      </c>
      <c r="I1327">
        <f t="shared" si="123"/>
        <v>5.5555555555555556E-4</v>
      </c>
      <c r="J1327">
        <f t="shared" si="124"/>
        <v>0.4453913565972229</v>
      </c>
      <c r="K1327">
        <f t="shared" si="125"/>
        <v>1.73562653729688</v>
      </c>
    </row>
    <row r="1328" spans="1:11" x14ac:dyDescent="0.35">
      <c r="A1328" s="5" t="s">
        <v>8</v>
      </c>
      <c r="B1328" s="5">
        <v>1325</v>
      </c>
      <c r="C1328" s="5">
        <v>303</v>
      </c>
      <c r="D1328" s="16">
        <v>79.2</v>
      </c>
      <c r="E1328" s="1">
        <f t="shared" si="120"/>
        <v>0.36111111111111033</v>
      </c>
      <c r="F1328">
        <f t="shared" si="121"/>
        <v>291.24679466666629</v>
      </c>
      <c r="G1328">
        <f t="shared" si="122"/>
        <v>737.13868379404164</v>
      </c>
      <c r="I1328">
        <f t="shared" si="123"/>
        <v>5.5555555555555556E-4</v>
      </c>
      <c r="J1328">
        <f t="shared" si="124"/>
        <v>0.40450943703703651</v>
      </c>
      <c r="K1328">
        <f t="shared" si="125"/>
        <v>1.7691328411056999</v>
      </c>
    </row>
    <row r="1329" spans="1:11" x14ac:dyDescent="0.35">
      <c r="A1329" s="5" t="s">
        <v>8</v>
      </c>
      <c r="B1329" s="5">
        <v>1326</v>
      </c>
      <c r="C1329" s="5">
        <v>304</v>
      </c>
      <c r="D1329" s="16">
        <v>80.3</v>
      </c>
      <c r="E1329" s="1">
        <f t="shared" si="120"/>
        <v>0.22222222222222143</v>
      </c>
      <c r="F1329">
        <f t="shared" si="121"/>
        <v>229.57714971296261</v>
      </c>
      <c r="G1329">
        <f t="shared" si="122"/>
        <v>747.37672106895889</v>
      </c>
      <c r="I1329">
        <f t="shared" si="123"/>
        <v>5.5555555555555556E-4</v>
      </c>
      <c r="J1329">
        <f t="shared" si="124"/>
        <v>0.31885715237911472</v>
      </c>
      <c r="K1329">
        <f t="shared" si="125"/>
        <v>1.7937041305655015</v>
      </c>
    </row>
    <row r="1330" spans="1:11" x14ac:dyDescent="0.35">
      <c r="A1330" s="5" t="s">
        <v>8</v>
      </c>
      <c r="B1330" s="5">
        <v>1327</v>
      </c>
      <c r="C1330" s="5">
        <v>305</v>
      </c>
      <c r="D1330" s="16">
        <v>80.8</v>
      </c>
      <c r="E1330" s="1">
        <f t="shared" si="120"/>
        <v>9.7222222222222612E-2</v>
      </c>
      <c r="F1330">
        <f t="shared" si="121"/>
        <v>173.34095762962977</v>
      </c>
      <c r="G1330">
        <f t="shared" si="122"/>
        <v>752.03037437573948</v>
      </c>
      <c r="I1330">
        <f t="shared" si="123"/>
        <v>5.5555555555555556E-4</v>
      </c>
      <c r="J1330">
        <f t="shared" si="124"/>
        <v>0.24075133004115246</v>
      </c>
      <c r="K1330">
        <f t="shared" si="125"/>
        <v>1.8048728985017748</v>
      </c>
    </row>
    <row r="1331" spans="1:11" x14ac:dyDescent="0.35">
      <c r="A1331" s="5" t="s">
        <v>8</v>
      </c>
      <c r="B1331" s="5">
        <v>1328</v>
      </c>
      <c r="C1331" s="5">
        <v>306</v>
      </c>
      <c r="D1331" s="16">
        <v>81</v>
      </c>
      <c r="E1331" s="1">
        <f t="shared" si="120"/>
        <v>2.7777777777778172E-2</v>
      </c>
      <c r="F1331">
        <f t="shared" si="121"/>
        <v>141.98114166666684</v>
      </c>
      <c r="G1331">
        <f t="shared" si="122"/>
        <v>753.8918356984517</v>
      </c>
      <c r="I1331">
        <f t="shared" si="123"/>
        <v>5.5555555555555556E-4</v>
      </c>
      <c r="J1331">
        <f t="shared" si="124"/>
        <v>0.19719603009259284</v>
      </c>
      <c r="K1331">
        <f t="shared" si="125"/>
        <v>1.8093404056762841</v>
      </c>
    </row>
    <row r="1332" spans="1:11" x14ac:dyDescent="0.35">
      <c r="A1332" s="5" t="s">
        <v>8</v>
      </c>
      <c r="B1332" s="5">
        <v>1329</v>
      </c>
      <c r="C1332" s="5">
        <v>307</v>
      </c>
      <c r="D1332" s="16">
        <v>81</v>
      </c>
      <c r="E1332" s="1">
        <f t="shared" si="120"/>
        <v>0</v>
      </c>
      <c r="F1332">
        <f t="shared" si="121"/>
        <v>129.31447499999999</v>
      </c>
      <c r="G1332">
        <f t="shared" si="122"/>
        <v>753.8918356984517</v>
      </c>
      <c r="I1332">
        <f t="shared" si="123"/>
        <v>5.5555555555555556E-4</v>
      </c>
      <c r="J1332">
        <f t="shared" si="124"/>
        <v>0.17960343749999999</v>
      </c>
      <c r="K1332">
        <f t="shared" si="125"/>
        <v>1.8093404056762841</v>
      </c>
    </row>
    <row r="1333" spans="1:11" x14ac:dyDescent="0.35">
      <c r="A1333" s="5" t="s">
        <v>8</v>
      </c>
      <c r="B1333" s="5">
        <v>1330</v>
      </c>
      <c r="C1333" s="5">
        <v>308</v>
      </c>
      <c r="D1333" s="16">
        <v>81</v>
      </c>
      <c r="E1333" s="1">
        <f t="shared" si="120"/>
        <v>0</v>
      </c>
      <c r="F1333">
        <f t="shared" si="121"/>
        <v>129.31447499999999</v>
      </c>
      <c r="G1333">
        <f t="shared" si="122"/>
        <v>753.8918356984517</v>
      </c>
      <c r="I1333">
        <f t="shared" si="123"/>
        <v>5.5555555555555556E-4</v>
      </c>
      <c r="J1333">
        <f t="shared" si="124"/>
        <v>0.17960343749999999</v>
      </c>
      <c r="K1333">
        <f t="shared" si="125"/>
        <v>1.8093404056762841</v>
      </c>
    </row>
    <row r="1334" spans="1:11" x14ac:dyDescent="0.35">
      <c r="A1334" s="5" t="s">
        <v>8</v>
      </c>
      <c r="B1334" s="5">
        <v>1331</v>
      </c>
      <c r="C1334" s="5">
        <v>309</v>
      </c>
      <c r="D1334" s="16">
        <v>81</v>
      </c>
      <c r="E1334" s="1">
        <f t="shared" si="120"/>
        <v>0</v>
      </c>
      <c r="F1334">
        <f t="shared" si="121"/>
        <v>129.31447499999999</v>
      </c>
      <c r="G1334">
        <f t="shared" si="122"/>
        <v>753.8918356984517</v>
      </c>
      <c r="I1334">
        <f t="shared" si="123"/>
        <v>5.5555555555555556E-4</v>
      </c>
      <c r="J1334">
        <f t="shared" si="124"/>
        <v>0.17960343749999999</v>
      </c>
      <c r="K1334">
        <f t="shared" si="125"/>
        <v>1.8093404056762841</v>
      </c>
    </row>
    <row r="1335" spans="1:11" x14ac:dyDescent="0.35">
      <c r="A1335" s="5" t="s">
        <v>8</v>
      </c>
      <c r="B1335" s="5">
        <v>1332</v>
      </c>
      <c r="C1335" s="5">
        <v>310</v>
      </c>
      <c r="D1335" s="16">
        <v>81</v>
      </c>
      <c r="E1335" s="1">
        <f t="shared" si="120"/>
        <v>-1.3888888888888099E-2</v>
      </c>
      <c r="F1335">
        <f t="shared" si="121"/>
        <v>122.98114166666703</v>
      </c>
      <c r="G1335">
        <f t="shared" si="122"/>
        <v>753.8918356984517</v>
      </c>
      <c r="I1335">
        <f t="shared" si="123"/>
        <v>5.5555555555555556E-4</v>
      </c>
      <c r="J1335">
        <f t="shared" si="124"/>
        <v>0.17080714120370422</v>
      </c>
      <c r="K1335">
        <f t="shared" si="125"/>
        <v>1.8093404056762841</v>
      </c>
    </row>
    <row r="1336" spans="1:11" x14ac:dyDescent="0.35">
      <c r="A1336" s="5" t="s">
        <v>8</v>
      </c>
      <c r="B1336" s="5">
        <v>1333</v>
      </c>
      <c r="C1336" s="5">
        <v>311</v>
      </c>
      <c r="D1336" s="16">
        <v>80.900000000000006</v>
      </c>
      <c r="E1336" s="1">
        <f t="shared" si="120"/>
        <v>-5.5555555555556344E-2</v>
      </c>
      <c r="F1336">
        <f t="shared" si="121"/>
        <v>103.8276214907404</v>
      </c>
      <c r="G1336">
        <f t="shared" si="122"/>
        <v>752.96110503709554</v>
      </c>
      <c r="I1336">
        <f t="shared" si="123"/>
        <v>5.5555555555555556E-4</v>
      </c>
      <c r="J1336">
        <f t="shared" si="124"/>
        <v>0.14420502984825057</v>
      </c>
      <c r="K1336">
        <f t="shared" si="125"/>
        <v>1.8071066520890293</v>
      </c>
    </row>
    <row r="1337" spans="1:11" x14ac:dyDescent="0.35">
      <c r="A1337" s="5" t="s">
        <v>8</v>
      </c>
      <c r="B1337" s="5">
        <v>1334</v>
      </c>
      <c r="C1337" s="5">
        <v>312</v>
      </c>
      <c r="D1337" s="16">
        <v>80.599999999999994</v>
      </c>
      <c r="E1337" s="1">
        <f t="shared" si="120"/>
        <v>-8.3333333333334522E-2</v>
      </c>
      <c r="F1337">
        <f t="shared" si="121"/>
        <v>90.701532185184618</v>
      </c>
      <c r="G1337">
        <f t="shared" si="122"/>
        <v>750.16891305302727</v>
      </c>
      <c r="I1337">
        <f t="shared" si="123"/>
        <v>5.5555555555555556E-4</v>
      </c>
      <c r="J1337">
        <f t="shared" si="124"/>
        <v>0.12597435025720086</v>
      </c>
      <c r="K1337">
        <f t="shared" si="125"/>
        <v>1.8004053913272655</v>
      </c>
    </row>
    <row r="1338" spans="1:11" x14ac:dyDescent="0.35">
      <c r="A1338" s="5" t="s">
        <v>8</v>
      </c>
      <c r="B1338" s="5">
        <v>1335</v>
      </c>
      <c r="C1338" s="5">
        <v>313</v>
      </c>
      <c r="D1338" s="16">
        <v>80.3</v>
      </c>
      <c r="E1338" s="1">
        <f t="shared" si="120"/>
        <v>-8.3333333333332538E-2</v>
      </c>
      <c r="F1338">
        <f t="shared" si="121"/>
        <v>90.24381637962999</v>
      </c>
      <c r="G1338">
        <f t="shared" si="122"/>
        <v>747.37672106895889</v>
      </c>
      <c r="I1338">
        <f t="shared" si="123"/>
        <v>5.5555555555555556E-4</v>
      </c>
      <c r="J1338">
        <f t="shared" si="124"/>
        <v>0.12533863386059721</v>
      </c>
      <c r="K1338">
        <f t="shared" si="125"/>
        <v>1.7937041305655015</v>
      </c>
    </row>
    <row r="1339" spans="1:11" x14ac:dyDescent="0.35">
      <c r="A1339" s="5" t="s">
        <v>8</v>
      </c>
      <c r="B1339" s="5">
        <v>1336</v>
      </c>
      <c r="C1339" s="5">
        <v>314</v>
      </c>
      <c r="D1339" s="16">
        <v>80</v>
      </c>
      <c r="E1339" s="1">
        <f t="shared" si="120"/>
        <v>-5.5555555555554373E-2</v>
      </c>
      <c r="F1339">
        <f t="shared" si="121"/>
        <v>102.45447407407461</v>
      </c>
      <c r="G1339">
        <f t="shared" si="122"/>
        <v>744.58452908489051</v>
      </c>
      <c r="I1339">
        <f t="shared" si="123"/>
        <v>5.5555555555555556E-4</v>
      </c>
      <c r="J1339">
        <f t="shared" si="124"/>
        <v>0.14229788065843696</v>
      </c>
      <c r="K1339">
        <f t="shared" si="125"/>
        <v>1.7870028698037375</v>
      </c>
    </row>
    <row r="1340" spans="1:11" x14ac:dyDescent="0.35">
      <c r="A1340" s="5" t="s">
        <v>8</v>
      </c>
      <c r="B1340" s="5">
        <v>1337</v>
      </c>
      <c r="C1340" s="5">
        <v>315</v>
      </c>
      <c r="D1340" s="16">
        <v>79.900000000000006</v>
      </c>
      <c r="E1340" s="1">
        <f t="shared" si="120"/>
        <v>-2.7777777777778172E-2</v>
      </c>
      <c r="F1340">
        <f t="shared" si="121"/>
        <v>114.96951704629612</v>
      </c>
      <c r="G1340">
        <f t="shared" si="122"/>
        <v>743.65379842353445</v>
      </c>
      <c r="I1340">
        <f t="shared" si="123"/>
        <v>5.5555555555555556E-4</v>
      </c>
      <c r="J1340">
        <f t="shared" si="124"/>
        <v>0.1596798847865224</v>
      </c>
      <c r="K1340">
        <f t="shared" si="125"/>
        <v>1.7847691162164829</v>
      </c>
    </row>
    <row r="1341" spans="1:11" x14ac:dyDescent="0.35">
      <c r="A1341" s="5" t="s">
        <v>8</v>
      </c>
      <c r="B1341" s="5">
        <v>1338</v>
      </c>
      <c r="C1341" s="5">
        <v>316</v>
      </c>
      <c r="D1341" s="16">
        <v>79.8</v>
      </c>
      <c r="E1341" s="1">
        <f t="shared" si="120"/>
        <v>-1.3888888888890073E-2</v>
      </c>
      <c r="F1341">
        <f t="shared" si="121"/>
        <v>121.15141633333278</v>
      </c>
      <c r="G1341">
        <f t="shared" si="122"/>
        <v>742.72306776217829</v>
      </c>
      <c r="I1341">
        <f t="shared" si="123"/>
        <v>5.5555555555555556E-4</v>
      </c>
      <c r="J1341">
        <f t="shared" si="124"/>
        <v>0.16826585601851773</v>
      </c>
      <c r="K1341">
        <f t="shared" si="125"/>
        <v>1.7825353626292282</v>
      </c>
    </row>
    <row r="1342" spans="1:11" x14ac:dyDescent="0.35">
      <c r="A1342" s="5" t="s">
        <v>8</v>
      </c>
      <c r="B1342" s="5">
        <v>1339</v>
      </c>
      <c r="C1342" s="5">
        <v>317</v>
      </c>
      <c r="D1342" s="16">
        <v>79.8</v>
      </c>
      <c r="E1342" s="1">
        <f t="shared" si="120"/>
        <v>0</v>
      </c>
      <c r="F1342">
        <f t="shared" si="121"/>
        <v>127.48474966666664</v>
      </c>
      <c r="G1342">
        <f t="shared" si="122"/>
        <v>742.72306776217829</v>
      </c>
      <c r="I1342">
        <f t="shared" si="123"/>
        <v>5.5555555555555556E-4</v>
      </c>
      <c r="J1342">
        <f t="shared" si="124"/>
        <v>0.17706215231481479</v>
      </c>
      <c r="K1342">
        <f t="shared" si="125"/>
        <v>1.7825353626292282</v>
      </c>
    </row>
    <row r="1343" spans="1:11" x14ac:dyDescent="0.35">
      <c r="A1343" s="5" t="s">
        <v>8</v>
      </c>
      <c r="B1343" s="5">
        <v>1340</v>
      </c>
      <c r="C1343" s="5">
        <v>318</v>
      </c>
      <c r="D1343" s="16">
        <v>79.8</v>
      </c>
      <c r="E1343" s="1">
        <f t="shared" si="120"/>
        <v>1.3888888888890073E-2</v>
      </c>
      <c r="F1343">
        <f t="shared" si="121"/>
        <v>133.81808300000051</v>
      </c>
      <c r="G1343">
        <f t="shared" si="122"/>
        <v>742.72306776217829</v>
      </c>
      <c r="I1343">
        <f t="shared" si="123"/>
        <v>5.5555555555555556E-4</v>
      </c>
      <c r="J1343">
        <f t="shared" si="124"/>
        <v>0.18585844861111184</v>
      </c>
      <c r="K1343">
        <f t="shared" si="125"/>
        <v>1.7825353626292282</v>
      </c>
    </row>
    <row r="1344" spans="1:11" x14ac:dyDescent="0.35">
      <c r="A1344" s="5" t="s">
        <v>8</v>
      </c>
      <c r="B1344" s="5">
        <v>1341</v>
      </c>
      <c r="C1344" s="5">
        <v>319</v>
      </c>
      <c r="D1344" s="16">
        <v>79.900000000000006</v>
      </c>
      <c r="E1344" s="1">
        <f t="shared" si="120"/>
        <v>2.7777777777778172E-2</v>
      </c>
      <c r="F1344">
        <f t="shared" si="121"/>
        <v>140.3028503796298</v>
      </c>
      <c r="G1344">
        <f t="shared" si="122"/>
        <v>743.65379842353445</v>
      </c>
      <c r="I1344">
        <f t="shared" si="123"/>
        <v>5.5555555555555556E-4</v>
      </c>
      <c r="J1344">
        <f t="shared" si="124"/>
        <v>0.19486506997170805</v>
      </c>
      <c r="K1344">
        <f t="shared" si="125"/>
        <v>1.7847691162164829</v>
      </c>
    </row>
    <row r="1345" spans="1:11" x14ac:dyDescent="0.35">
      <c r="A1345" s="5" t="s">
        <v>8</v>
      </c>
      <c r="B1345" s="5">
        <v>1342</v>
      </c>
      <c r="C1345" s="5">
        <v>320</v>
      </c>
      <c r="D1345" s="16">
        <v>80</v>
      </c>
      <c r="E1345" s="1">
        <f t="shared" si="120"/>
        <v>6.9444444444444448E-2</v>
      </c>
      <c r="F1345">
        <f t="shared" si="121"/>
        <v>159.45447407407408</v>
      </c>
      <c r="G1345">
        <f t="shared" si="122"/>
        <v>744.58452908489051</v>
      </c>
      <c r="I1345">
        <f t="shared" si="123"/>
        <v>5.5555555555555556E-4</v>
      </c>
      <c r="J1345">
        <f t="shared" si="124"/>
        <v>0.2214645473251029</v>
      </c>
      <c r="K1345">
        <f t="shared" si="125"/>
        <v>1.7870028698037375</v>
      </c>
    </row>
    <row r="1346" spans="1:11" x14ac:dyDescent="0.35">
      <c r="A1346" s="5" t="s">
        <v>8</v>
      </c>
      <c r="B1346" s="5">
        <v>1343</v>
      </c>
      <c r="C1346" s="5">
        <v>321</v>
      </c>
      <c r="D1346" s="16">
        <v>80.400000000000006</v>
      </c>
      <c r="E1346" s="1">
        <f t="shared" si="120"/>
        <v>0.11111111111111072</v>
      </c>
      <c r="F1346">
        <f t="shared" si="121"/>
        <v>179.06286533333318</v>
      </c>
      <c r="G1346">
        <f t="shared" si="122"/>
        <v>748.30745173031494</v>
      </c>
      <c r="I1346">
        <f t="shared" si="123"/>
        <v>5.5555555555555556E-4</v>
      </c>
      <c r="J1346">
        <f t="shared" si="124"/>
        <v>0.24869842407407386</v>
      </c>
      <c r="K1346">
        <f t="shared" si="125"/>
        <v>1.795937884152756</v>
      </c>
    </row>
    <row r="1347" spans="1:11" x14ac:dyDescent="0.35">
      <c r="A1347" s="5" t="s">
        <v>8</v>
      </c>
      <c r="B1347" s="5">
        <v>1344</v>
      </c>
      <c r="C1347" s="5">
        <v>322</v>
      </c>
      <c r="D1347" s="16">
        <v>80.8</v>
      </c>
      <c r="E1347" s="1">
        <f t="shared" si="120"/>
        <v>0.11111111111111072</v>
      </c>
      <c r="F1347">
        <f t="shared" si="121"/>
        <v>179.67429096296277</v>
      </c>
      <c r="G1347">
        <f t="shared" si="122"/>
        <v>752.03037437573948</v>
      </c>
      <c r="I1347">
        <f t="shared" si="123"/>
        <v>5.5555555555555556E-4</v>
      </c>
      <c r="J1347">
        <f t="shared" si="124"/>
        <v>0.24954762633744829</v>
      </c>
      <c r="K1347">
        <f t="shared" si="125"/>
        <v>1.8048728985017748</v>
      </c>
    </row>
    <row r="1348" spans="1:11" x14ac:dyDescent="0.35">
      <c r="A1348" s="5" t="s">
        <v>8</v>
      </c>
      <c r="B1348" s="5">
        <v>1345</v>
      </c>
      <c r="C1348" s="5">
        <v>323</v>
      </c>
      <c r="D1348" s="16">
        <v>81.2</v>
      </c>
      <c r="E1348" s="1">
        <f t="shared" si="120"/>
        <v>9.7222222222222612E-2</v>
      </c>
      <c r="F1348">
        <f t="shared" si="121"/>
        <v>173.95541762962984</v>
      </c>
      <c r="G1348">
        <f t="shared" si="122"/>
        <v>755.75329702116392</v>
      </c>
      <c r="I1348">
        <f t="shared" si="123"/>
        <v>5.5555555555555556E-4</v>
      </c>
      <c r="J1348">
        <f t="shared" si="124"/>
        <v>0.24160474670781923</v>
      </c>
      <c r="K1348">
        <f t="shared" si="125"/>
        <v>1.8138079128507933</v>
      </c>
    </row>
    <row r="1349" spans="1:11" x14ac:dyDescent="0.35">
      <c r="A1349" s="5" t="s">
        <v>8</v>
      </c>
      <c r="B1349" s="5">
        <v>1346</v>
      </c>
      <c r="C1349" s="5">
        <v>324</v>
      </c>
      <c r="D1349" s="16">
        <v>81.5</v>
      </c>
      <c r="E1349" s="1">
        <f t="shared" ref="E1349:E1412" si="126">($D1350-$D1348)/2/3.6</f>
        <v>5.5555555555554373E-2</v>
      </c>
      <c r="F1349">
        <f t="shared" ref="F1349:F1412" si="127">IF(D1349=0,0,MAX(0,0.285*(1600*E1349 + 1600*9.81*0.015 + 0.5*1.225*0.32*2.2*(D1349/3.6)^2)))</f>
        <v>155.41825393518465</v>
      </c>
      <c r="G1349">
        <f t="shared" ref="G1349:G1412" si="128">60*D1349/(2*PI()*3.6*0.285)</f>
        <v>758.54548900523218</v>
      </c>
      <c r="I1349">
        <f t="shared" ref="I1349:I1412" si="129">1/1800</f>
        <v>5.5555555555555556E-4</v>
      </c>
      <c r="J1349">
        <f t="shared" ref="J1349:J1412" si="130">F1349/(M$3*3.6)</f>
        <v>0.21585868602108979</v>
      </c>
      <c r="K1349">
        <f t="shared" ref="K1349:K1412" si="131">G1349*3.6/N$3</f>
        <v>1.8205091736125572</v>
      </c>
    </row>
    <row r="1350" spans="1:11" x14ac:dyDescent="0.35">
      <c r="A1350" s="5" t="s">
        <v>8</v>
      </c>
      <c r="B1350" s="5">
        <v>1347</v>
      </c>
      <c r="C1350" s="5">
        <v>325</v>
      </c>
      <c r="D1350" s="16">
        <v>81.599999999999994</v>
      </c>
      <c r="E1350" s="1">
        <f t="shared" si="126"/>
        <v>1.3888888888888099E-2</v>
      </c>
      <c r="F1350">
        <f t="shared" si="127"/>
        <v>136.57291199999963</v>
      </c>
      <c r="G1350">
        <f t="shared" si="128"/>
        <v>759.47621966658835</v>
      </c>
      <c r="I1350">
        <f t="shared" si="129"/>
        <v>5.5555555555555556E-4</v>
      </c>
      <c r="J1350">
        <f t="shared" si="130"/>
        <v>0.18968459999999948</v>
      </c>
      <c r="K1350">
        <f t="shared" si="131"/>
        <v>1.8227429271998119</v>
      </c>
    </row>
    <row r="1351" spans="1:11" x14ac:dyDescent="0.35">
      <c r="A1351" s="5" t="s">
        <v>8</v>
      </c>
      <c r="B1351" s="5">
        <v>1348</v>
      </c>
      <c r="C1351" s="5">
        <v>326</v>
      </c>
      <c r="D1351" s="16">
        <v>81.599999999999994</v>
      </c>
      <c r="E1351" s="1">
        <f t="shared" si="126"/>
        <v>-2.7777777777776198E-2</v>
      </c>
      <c r="F1351">
        <f t="shared" si="127"/>
        <v>117.57291200000071</v>
      </c>
      <c r="G1351">
        <f t="shared" si="128"/>
        <v>759.47621966658835</v>
      </c>
      <c r="I1351">
        <f t="shared" si="129"/>
        <v>5.5555555555555556E-4</v>
      </c>
      <c r="J1351">
        <f t="shared" si="130"/>
        <v>0.1632957111111121</v>
      </c>
      <c r="K1351">
        <f t="shared" si="131"/>
        <v>1.8227429271998119</v>
      </c>
    </row>
    <row r="1352" spans="1:11" x14ac:dyDescent="0.35">
      <c r="A1352" s="5" t="s">
        <v>8</v>
      </c>
      <c r="B1352" s="5">
        <v>1349</v>
      </c>
      <c r="C1352" s="5">
        <v>327</v>
      </c>
      <c r="D1352" s="16">
        <v>81.400000000000006</v>
      </c>
      <c r="E1352" s="1">
        <f t="shared" si="126"/>
        <v>-0.12499999999999881</v>
      </c>
      <c r="F1352">
        <f t="shared" si="127"/>
        <v>72.930452185185729</v>
      </c>
      <c r="G1352">
        <f t="shared" si="128"/>
        <v>757.61475834387613</v>
      </c>
      <c r="I1352">
        <f t="shared" si="129"/>
        <v>5.5555555555555556E-4</v>
      </c>
      <c r="J1352">
        <f t="shared" si="130"/>
        <v>0.10129229470164684</v>
      </c>
      <c r="K1352">
        <f t="shared" si="131"/>
        <v>1.8182754200253026</v>
      </c>
    </row>
    <row r="1353" spans="1:11" x14ac:dyDescent="0.35">
      <c r="A1353" s="5" t="s">
        <v>8</v>
      </c>
      <c r="B1353" s="5">
        <v>1350</v>
      </c>
      <c r="C1353" s="5">
        <v>328</v>
      </c>
      <c r="D1353" s="16">
        <v>80.7</v>
      </c>
      <c r="E1353" s="1">
        <f t="shared" si="126"/>
        <v>-0.25000000000000155</v>
      </c>
      <c r="F1353">
        <f t="shared" si="127"/>
        <v>14.854483416665962</v>
      </c>
      <c r="G1353">
        <f t="shared" si="128"/>
        <v>751.09964371438332</v>
      </c>
      <c r="I1353">
        <f t="shared" si="129"/>
        <v>5.5555555555555556E-4</v>
      </c>
      <c r="J1353">
        <f t="shared" si="130"/>
        <v>2.0631226967591614E-2</v>
      </c>
      <c r="K1353">
        <f t="shared" si="131"/>
        <v>1.80263914491452</v>
      </c>
    </row>
    <row r="1354" spans="1:11" x14ac:dyDescent="0.35">
      <c r="A1354" s="5" t="s">
        <v>8</v>
      </c>
      <c r="B1354" s="5">
        <v>1351</v>
      </c>
      <c r="C1354" s="5">
        <v>329</v>
      </c>
      <c r="D1354" s="16">
        <v>79.599999999999994</v>
      </c>
      <c r="E1354" s="1">
        <f t="shared" si="126"/>
        <v>-0.34722222222222221</v>
      </c>
      <c r="F1354">
        <f t="shared" si="127"/>
        <v>0</v>
      </c>
      <c r="G1354">
        <f t="shared" si="128"/>
        <v>740.86160643946607</v>
      </c>
      <c r="I1354">
        <f t="shared" si="129"/>
        <v>5.5555555555555556E-4</v>
      </c>
      <c r="J1354">
        <f t="shared" si="130"/>
        <v>0</v>
      </c>
      <c r="K1354">
        <f t="shared" si="131"/>
        <v>1.7780678554547185</v>
      </c>
    </row>
    <row r="1355" spans="1:11" x14ac:dyDescent="0.35">
      <c r="A1355" s="5" t="s">
        <v>8</v>
      </c>
      <c r="B1355" s="5">
        <v>1352</v>
      </c>
      <c r="C1355" s="5">
        <v>330</v>
      </c>
      <c r="D1355" s="16">
        <v>78.2</v>
      </c>
      <c r="E1355" s="1">
        <f t="shared" si="126"/>
        <v>-0.38888888888888851</v>
      </c>
      <c r="F1355">
        <f t="shared" si="127"/>
        <v>0</v>
      </c>
      <c r="G1355">
        <f t="shared" si="128"/>
        <v>727.83137718048044</v>
      </c>
      <c r="I1355">
        <f t="shared" si="129"/>
        <v>5.5555555555555556E-4</v>
      </c>
      <c r="J1355">
        <f t="shared" si="130"/>
        <v>0</v>
      </c>
      <c r="K1355">
        <f t="shared" si="131"/>
        <v>1.7467953052331531</v>
      </c>
    </row>
    <row r="1356" spans="1:11" x14ac:dyDescent="0.35">
      <c r="A1356" s="5" t="s">
        <v>8</v>
      </c>
      <c r="B1356" s="5">
        <v>1353</v>
      </c>
      <c r="C1356" s="5">
        <v>331</v>
      </c>
      <c r="D1356" s="16">
        <v>76.8</v>
      </c>
      <c r="E1356" s="1">
        <f t="shared" si="126"/>
        <v>-0.40277777777777857</v>
      </c>
      <c r="F1356">
        <f t="shared" si="127"/>
        <v>0</v>
      </c>
      <c r="G1356">
        <f t="shared" si="128"/>
        <v>714.80114792149493</v>
      </c>
      <c r="I1356">
        <f t="shared" si="129"/>
        <v>5.5555555555555556E-4</v>
      </c>
      <c r="J1356">
        <f t="shared" si="130"/>
        <v>0</v>
      </c>
      <c r="K1356">
        <f t="shared" si="131"/>
        <v>1.7155227550115879</v>
      </c>
    </row>
    <row r="1357" spans="1:11" x14ac:dyDescent="0.35">
      <c r="A1357" s="5" t="s">
        <v>8</v>
      </c>
      <c r="B1357" s="5">
        <v>1354</v>
      </c>
      <c r="C1357" s="5">
        <v>332</v>
      </c>
      <c r="D1357" s="16">
        <v>75.3</v>
      </c>
      <c r="E1357" s="1">
        <f t="shared" si="126"/>
        <v>-0.41666666666666663</v>
      </c>
      <c r="F1357">
        <f t="shared" si="127"/>
        <v>0</v>
      </c>
      <c r="G1357">
        <f t="shared" si="128"/>
        <v>700.84018800115325</v>
      </c>
      <c r="I1357">
        <f t="shared" si="129"/>
        <v>5.5555555555555556E-4</v>
      </c>
      <c r="J1357">
        <f t="shared" si="130"/>
        <v>0</v>
      </c>
      <c r="K1357">
        <f t="shared" si="131"/>
        <v>1.6820164512027678</v>
      </c>
    </row>
    <row r="1358" spans="1:11" x14ac:dyDescent="0.35">
      <c r="A1358" s="5" t="s">
        <v>8</v>
      </c>
      <c r="B1358" s="5">
        <v>1355</v>
      </c>
      <c r="C1358" s="5">
        <v>333</v>
      </c>
      <c r="D1358" s="16">
        <v>73.8</v>
      </c>
      <c r="E1358" s="1">
        <f t="shared" si="126"/>
        <v>-0.44444444444444481</v>
      </c>
      <c r="F1358">
        <f t="shared" si="127"/>
        <v>0</v>
      </c>
      <c r="G1358">
        <f t="shared" si="128"/>
        <v>686.87922808081157</v>
      </c>
      <c r="I1358">
        <f t="shared" si="129"/>
        <v>5.5555555555555556E-4</v>
      </c>
      <c r="J1358">
        <f t="shared" si="130"/>
        <v>0</v>
      </c>
      <c r="K1358">
        <f t="shared" si="131"/>
        <v>1.6485101473939479</v>
      </c>
    </row>
    <row r="1359" spans="1:11" x14ac:dyDescent="0.35">
      <c r="A1359" s="5" t="s">
        <v>8</v>
      </c>
      <c r="B1359" s="5">
        <v>1356</v>
      </c>
      <c r="C1359" s="5">
        <v>334</v>
      </c>
      <c r="D1359" s="16">
        <v>72.099999999999994</v>
      </c>
      <c r="E1359" s="1">
        <f t="shared" si="126"/>
        <v>-0.49999999999999922</v>
      </c>
      <c r="F1359">
        <f t="shared" si="127"/>
        <v>0</v>
      </c>
      <c r="G1359">
        <f t="shared" si="128"/>
        <v>671.05680683775756</v>
      </c>
      <c r="I1359">
        <f t="shared" si="129"/>
        <v>5.5555555555555556E-4</v>
      </c>
      <c r="J1359">
        <f t="shared" si="130"/>
        <v>0</v>
      </c>
      <c r="K1359">
        <f t="shared" si="131"/>
        <v>1.6105363364106182</v>
      </c>
    </row>
    <row r="1360" spans="1:11" x14ac:dyDescent="0.35">
      <c r="A1360" s="5" t="s">
        <v>8</v>
      </c>
      <c r="B1360" s="5">
        <v>1357</v>
      </c>
      <c r="C1360" s="5">
        <v>335</v>
      </c>
      <c r="D1360" s="16">
        <v>70.2</v>
      </c>
      <c r="E1360" s="1">
        <f t="shared" si="126"/>
        <v>-0.54166666666666552</v>
      </c>
      <c r="F1360">
        <f t="shared" si="127"/>
        <v>0</v>
      </c>
      <c r="G1360">
        <f t="shared" si="128"/>
        <v>653.37292427199145</v>
      </c>
      <c r="I1360">
        <f t="shared" si="129"/>
        <v>5.5555555555555556E-4</v>
      </c>
      <c r="J1360">
        <f t="shared" si="130"/>
        <v>0</v>
      </c>
      <c r="K1360">
        <f t="shared" si="131"/>
        <v>1.5680950182527795</v>
      </c>
    </row>
    <row r="1361" spans="1:11" x14ac:dyDescent="0.35">
      <c r="A1361" s="5" t="s">
        <v>8</v>
      </c>
      <c r="B1361" s="5">
        <v>1358</v>
      </c>
      <c r="C1361" s="5">
        <v>336</v>
      </c>
      <c r="D1361" s="16">
        <v>68.2</v>
      </c>
      <c r="E1361" s="1">
        <f t="shared" si="126"/>
        <v>-0.56944444444444564</v>
      </c>
      <c r="F1361">
        <f t="shared" si="127"/>
        <v>0</v>
      </c>
      <c r="G1361">
        <f t="shared" si="128"/>
        <v>634.75831104486917</v>
      </c>
      <c r="I1361">
        <f t="shared" si="129"/>
        <v>5.5555555555555556E-4</v>
      </c>
      <c r="J1361">
        <f t="shared" si="130"/>
        <v>0</v>
      </c>
      <c r="K1361">
        <f t="shared" si="131"/>
        <v>1.5234199465076861</v>
      </c>
    </row>
    <row r="1362" spans="1:11" x14ac:dyDescent="0.35">
      <c r="A1362" s="5" t="s">
        <v>8</v>
      </c>
      <c r="B1362" s="5">
        <v>1359</v>
      </c>
      <c r="C1362" s="5">
        <v>337</v>
      </c>
      <c r="D1362" s="16">
        <v>66.099999999999994</v>
      </c>
      <c r="E1362" s="1">
        <f t="shared" si="126"/>
        <v>-0.61111111111111194</v>
      </c>
      <c r="F1362">
        <f t="shared" si="127"/>
        <v>0</v>
      </c>
      <c r="G1362">
        <f t="shared" si="128"/>
        <v>615.21296715639073</v>
      </c>
      <c r="I1362">
        <f t="shared" si="129"/>
        <v>5.5555555555555556E-4</v>
      </c>
      <c r="J1362">
        <f t="shared" si="130"/>
        <v>0</v>
      </c>
      <c r="K1362">
        <f t="shared" si="131"/>
        <v>1.4765111211753377</v>
      </c>
    </row>
    <row r="1363" spans="1:11" x14ac:dyDescent="0.35">
      <c r="A1363" s="5" t="s">
        <v>8</v>
      </c>
      <c r="B1363" s="5">
        <v>1360</v>
      </c>
      <c r="C1363" s="5">
        <v>338</v>
      </c>
      <c r="D1363" s="16">
        <v>63.8</v>
      </c>
      <c r="E1363" s="1">
        <f t="shared" si="126"/>
        <v>-0.624999999999999</v>
      </c>
      <c r="F1363">
        <f t="shared" si="127"/>
        <v>0</v>
      </c>
      <c r="G1363">
        <f t="shared" si="128"/>
        <v>593.80616194520019</v>
      </c>
      <c r="I1363">
        <f t="shared" si="129"/>
        <v>5.5555555555555556E-4</v>
      </c>
      <c r="J1363">
        <f t="shared" si="130"/>
        <v>0</v>
      </c>
      <c r="K1363">
        <f t="shared" si="131"/>
        <v>1.4251347886684804</v>
      </c>
    </row>
    <row r="1364" spans="1:11" x14ac:dyDescent="0.35">
      <c r="A1364" s="5" t="s">
        <v>8</v>
      </c>
      <c r="B1364" s="5">
        <v>1361</v>
      </c>
      <c r="C1364" s="5">
        <v>339</v>
      </c>
      <c r="D1364" s="16">
        <v>61.6</v>
      </c>
      <c r="E1364" s="1">
        <f t="shared" si="126"/>
        <v>-0.49999999999999922</v>
      </c>
      <c r="F1364">
        <f t="shared" si="127"/>
        <v>0</v>
      </c>
      <c r="G1364">
        <f t="shared" si="128"/>
        <v>573.33008739536569</v>
      </c>
      <c r="I1364">
        <f t="shared" si="129"/>
        <v>5.5555555555555556E-4</v>
      </c>
      <c r="J1364">
        <f t="shared" si="130"/>
        <v>0</v>
      </c>
      <c r="K1364">
        <f t="shared" si="131"/>
        <v>1.3759922097488777</v>
      </c>
    </row>
    <row r="1365" spans="1:11" x14ac:dyDescent="0.35">
      <c r="A1365" s="5" t="s">
        <v>8</v>
      </c>
      <c r="B1365" s="5">
        <v>1362</v>
      </c>
      <c r="C1365" s="5">
        <v>340</v>
      </c>
      <c r="D1365" s="16">
        <v>60.2</v>
      </c>
      <c r="E1365" s="1">
        <f t="shared" si="126"/>
        <v>-0.25000000000000061</v>
      </c>
      <c r="F1365">
        <f t="shared" si="127"/>
        <v>0</v>
      </c>
      <c r="G1365">
        <f t="shared" si="128"/>
        <v>560.29985813638018</v>
      </c>
      <c r="I1365">
        <f t="shared" si="129"/>
        <v>5.5555555555555556E-4</v>
      </c>
      <c r="J1365">
        <f t="shared" si="130"/>
        <v>0</v>
      </c>
      <c r="K1365">
        <f t="shared" si="131"/>
        <v>1.3447196595273125</v>
      </c>
    </row>
    <row r="1366" spans="1:11" x14ac:dyDescent="0.35">
      <c r="A1366" s="5" t="s">
        <v>8</v>
      </c>
      <c r="B1366" s="5">
        <v>1363</v>
      </c>
      <c r="C1366" s="5">
        <v>341</v>
      </c>
      <c r="D1366" s="16">
        <v>59.8</v>
      </c>
      <c r="E1366" s="1">
        <f t="shared" si="126"/>
        <v>2.7777777777777186E-2</v>
      </c>
      <c r="F1366">
        <f t="shared" si="127"/>
        <v>113.67653485185157</v>
      </c>
      <c r="G1366">
        <f t="shared" si="128"/>
        <v>556.57693549095563</v>
      </c>
      <c r="I1366">
        <f t="shared" si="129"/>
        <v>5.5555555555555556E-4</v>
      </c>
      <c r="J1366">
        <f t="shared" si="130"/>
        <v>0.15788407618312719</v>
      </c>
      <c r="K1366">
        <f t="shared" si="131"/>
        <v>1.3357846451782935</v>
      </c>
    </row>
    <row r="1367" spans="1:11" x14ac:dyDescent="0.35">
      <c r="A1367" s="5" t="s">
        <v>8</v>
      </c>
      <c r="B1367" s="5">
        <v>1364</v>
      </c>
      <c r="C1367" s="5">
        <v>342</v>
      </c>
      <c r="D1367" s="16">
        <v>60.4</v>
      </c>
      <c r="E1367" s="1">
        <f t="shared" si="126"/>
        <v>0.27777777777777779</v>
      </c>
      <c r="F1367">
        <f t="shared" si="127"/>
        <v>228.36040607407406</v>
      </c>
      <c r="G1367">
        <f t="shared" si="128"/>
        <v>562.1613194590924</v>
      </c>
      <c r="I1367">
        <f t="shared" si="129"/>
        <v>5.5555555555555556E-4</v>
      </c>
      <c r="J1367">
        <f t="shared" si="130"/>
        <v>0.31716723065843622</v>
      </c>
      <c r="K1367">
        <f t="shared" si="131"/>
        <v>1.3491871667018218</v>
      </c>
    </row>
    <row r="1368" spans="1:11" x14ac:dyDescent="0.35">
      <c r="A1368" s="5" t="s">
        <v>8</v>
      </c>
      <c r="B1368" s="5">
        <v>1365</v>
      </c>
      <c r="C1368" s="5">
        <v>343</v>
      </c>
      <c r="D1368" s="16">
        <v>61.8</v>
      </c>
      <c r="E1368" s="1">
        <f t="shared" si="126"/>
        <v>0.30555555555555597</v>
      </c>
      <c r="F1368">
        <f t="shared" si="127"/>
        <v>242.64932300000015</v>
      </c>
      <c r="G1368">
        <f t="shared" si="128"/>
        <v>575.19154871807791</v>
      </c>
      <c r="I1368">
        <f t="shared" si="129"/>
        <v>5.5555555555555556E-4</v>
      </c>
      <c r="J1368">
        <f t="shared" si="130"/>
        <v>0.33701294861111131</v>
      </c>
      <c r="K1368">
        <f t="shared" si="131"/>
        <v>1.380459716923387</v>
      </c>
    </row>
    <row r="1369" spans="1:11" x14ac:dyDescent="0.35">
      <c r="A1369" s="5" t="s">
        <v>8</v>
      </c>
      <c r="B1369" s="5">
        <v>1366</v>
      </c>
      <c r="C1369" s="5">
        <v>344</v>
      </c>
      <c r="D1369" s="16">
        <v>62.6</v>
      </c>
      <c r="E1369" s="1">
        <f t="shared" si="126"/>
        <v>0.12500000000000078</v>
      </c>
      <c r="F1369">
        <f t="shared" si="127"/>
        <v>161.25967885185219</v>
      </c>
      <c r="G1369">
        <f t="shared" si="128"/>
        <v>582.63739400892689</v>
      </c>
      <c r="I1369">
        <f t="shared" si="129"/>
        <v>5.5555555555555556E-4</v>
      </c>
      <c r="J1369">
        <f t="shared" si="130"/>
        <v>0.22397177618312802</v>
      </c>
      <c r="K1369">
        <f t="shared" si="131"/>
        <v>1.3983297456214248</v>
      </c>
    </row>
    <row r="1370" spans="1:11" x14ac:dyDescent="0.35">
      <c r="A1370" s="5" t="s">
        <v>8</v>
      </c>
      <c r="B1370" s="5">
        <v>1367</v>
      </c>
      <c r="C1370" s="5">
        <v>345</v>
      </c>
      <c r="D1370" s="16">
        <v>62.7</v>
      </c>
      <c r="E1370" s="1">
        <f t="shared" si="126"/>
        <v>-9.7222222222222612E-2</v>
      </c>
      <c r="F1370">
        <f t="shared" si="127"/>
        <v>60.045160083333158</v>
      </c>
      <c r="G1370">
        <f t="shared" si="128"/>
        <v>583.56812467028294</v>
      </c>
      <c r="I1370">
        <f t="shared" si="129"/>
        <v>5.5555555555555556E-4</v>
      </c>
      <c r="J1370">
        <f t="shared" si="130"/>
        <v>8.3396055671296057E-2</v>
      </c>
      <c r="K1370">
        <f t="shared" si="131"/>
        <v>1.4005634992086793</v>
      </c>
    </row>
    <row r="1371" spans="1:11" x14ac:dyDescent="0.35">
      <c r="A1371" s="5" t="s">
        <v>8</v>
      </c>
      <c r="B1371" s="5">
        <v>1368</v>
      </c>
      <c r="C1371" s="5">
        <v>346</v>
      </c>
      <c r="D1371" s="16">
        <v>61.9</v>
      </c>
      <c r="E1371" s="1">
        <f t="shared" si="126"/>
        <v>-0.37500000000000039</v>
      </c>
      <c r="F1371">
        <f t="shared" si="127"/>
        <v>0</v>
      </c>
      <c r="G1371">
        <f t="shared" si="128"/>
        <v>576.12227937943408</v>
      </c>
      <c r="I1371">
        <f t="shared" si="129"/>
        <v>5.5555555555555556E-4</v>
      </c>
      <c r="J1371">
        <f t="shared" si="130"/>
        <v>0</v>
      </c>
      <c r="K1371">
        <f t="shared" si="131"/>
        <v>1.3826934705106417</v>
      </c>
    </row>
    <row r="1372" spans="1:11" x14ac:dyDescent="0.35">
      <c r="A1372" s="5" t="s">
        <v>8</v>
      </c>
      <c r="B1372" s="5">
        <v>1369</v>
      </c>
      <c r="C1372" s="5">
        <v>347</v>
      </c>
      <c r="D1372" s="16">
        <v>60</v>
      </c>
      <c r="E1372" s="1">
        <f t="shared" si="126"/>
        <v>-0.4861111111111111</v>
      </c>
      <c r="F1372">
        <f t="shared" si="127"/>
        <v>0</v>
      </c>
      <c r="G1372">
        <f t="shared" si="128"/>
        <v>558.43839681366785</v>
      </c>
      <c r="I1372">
        <f t="shared" si="129"/>
        <v>5.5555555555555556E-4</v>
      </c>
      <c r="J1372">
        <f t="shared" si="130"/>
        <v>0</v>
      </c>
      <c r="K1372">
        <f t="shared" si="131"/>
        <v>1.3402521523528028</v>
      </c>
    </row>
    <row r="1373" spans="1:11" x14ac:dyDescent="0.35">
      <c r="A1373" s="5" t="s">
        <v>8</v>
      </c>
      <c r="B1373" s="5">
        <v>1370</v>
      </c>
      <c r="C1373" s="5">
        <v>348</v>
      </c>
      <c r="D1373" s="16">
        <v>58.4</v>
      </c>
      <c r="E1373" s="1">
        <f t="shared" si="126"/>
        <v>-0.30555555555555597</v>
      </c>
      <c r="F1373">
        <f t="shared" si="127"/>
        <v>0</v>
      </c>
      <c r="G1373">
        <f t="shared" si="128"/>
        <v>543.54670623197012</v>
      </c>
      <c r="I1373">
        <f t="shared" si="129"/>
        <v>5.5555555555555556E-4</v>
      </c>
      <c r="J1373">
        <f t="shared" si="130"/>
        <v>0</v>
      </c>
      <c r="K1373">
        <f t="shared" si="131"/>
        <v>1.3045120949567282</v>
      </c>
    </row>
    <row r="1374" spans="1:11" x14ac:dyDescent="0.35">
      <c r="A1374" s="5" t="s">
        <v>8</v>
      </c>
      <c r="B1374" s="5">
        <v>1371</v>
      </c>
      <c r="C1374" s="5">
        <v>349</v>
      </c>
      <c r="D1374" s="16">
        <v>57.8</v>
      </c>
      <c r="E1374" s="1">
        <f t="shared" si="126"/>
        <v>-8.3333333333333523E-2</v>
      </c>
      <c r="F1374">
        <f t="shared" si="127"/>
        <v>60.779605962962862</v>
      </c>
      <c r="G1374">
        <f t="shared" si="128"/>
        <v>537.96232226383336</v>
      </c>
      <c r="I1374">
        <f t="shared" si="129"/>
        <v>5.5555555555555556E-4</v>
      </c>
      <c r="J1374">
        <f t="shared" si="130"/>
        <v>8.4416119393003974E-2</v>
      </c>
      <c r="K1374">
        <f t="shared" si="131"/>
        <v>1.2911095734332001</v>
      </c>
    </row>
    <row r="1375" spans="1:11" x14ac:dyDescent="0.35">
      <c r="A1375" s="5" t="s">
        <v>8</v>
      </c>
      <c r="B1375" s="5">
        <v>1372</v>
      </c>
      <c r="C1375" s="5">
        <v>350</v>
      </c>
      <c r="D1375" s="16">
        <v>57.8</v>
      </c>
      <c r="E1375" s="1">
        <f t="shared" si="126"/>
        <v>0</v>
      </c>
      <c r="F1375">
        <f t="shared" si="127"/>
        <v>98.779605962962947</v>
      </c>
      <c r="G1375">
        <f t="shared" si="128"/>
        <v>537.96232226383336</v>
      </c>
      <c r="I1375">
        <f t="shared" si="129"/>
        <v>5.5555555555555556E-4</v>
      </c>
      <c r="J1375">
        <f t="shared" si="130"/>
        <v>0.13719389717078187</v>
      </c>
      <c r="K1375">
        <f t="shared" si="131"/>
        <v>1.2911095734332001</v>
      </c>
    </row>
    <row r="1376" spans="1:11" x14ac:dyDescent="0.35">
      <c r="A1376" s="5" t="s">
        <v>8</v>
      </c>
      <c r="B1376" s="5">
        <v>1373</v>
      </c>
      <c r="C1376" s="5">
        <v>351</v>
      </c>
      <c r="D1376" s="16">
        <v>57.8</v>
      </c>
      <c r="E1376" s="1">
        <f t="shared" si="126"/>
        <v>-6.9444444444444448E-2</v>
      </c>
      <c r="F1376">
        <f t="shared" si="127"/>
        <v>67.112939296296275</v>
      </c>
      <c r="G1376">
        <f t="shared" si="128"/>
        <v>537.96232226383336</v>
      </c>
      <c r="I1376">
        <f t="shared" si="129"/>
        <v>5.5555555555555556E-4</v>
      </c>
      <c r="J1376">
        <f t="shared" si="130"/>
        <v>9.3212415689300387E-2</v>
      </c>
      <c r="K1376">
        <f t="shared" si="131"/>
        <v>1.2911095734332001</v>
      </c>
    </row>
    <row r="1377" spans="1:11" x14ac:dyDescent="0.35">
      <c r="A1377" s="5" t="s">
        <v>8</v>
      </c>
      <c r="B1377" s="5">
        <v>1374</v>
      </c>
      <c r="C1377" s="5">
        <v>352</v>
      </c>
      <c r="D1377" s="16">
        <v>57.3</v>
      </c>
      <c r="E1377" s="1">
        <f t="shared" si="126"/>
        <v>-0.22222222222222143</v>
      </c>
      <c r="F1377">
        <f t="shared" si="127"/>
        <v>0</v>
      </c>
      <c r="G1377">
        <f t="shared" si="128"/>
        <v>533.30866895705287</v>
      </c>
      <c r="I1377">
        <f t="shared" si="129"/>
        <v>5.5555555555555556E-4</v>
      </c>
      <c r="J1377">
        <f t="shared" si="130"/>
        <v>0</v>
      </c>
      <c r="K1377">
        <f t="shared" si="131"/>
        <v>1.2799408054969268</v>
      </c>
    </row>
    <row r="1378" spans="1:11" x14ac:dyDescent="0.35">
      <c r="A1378" s="5" t="s">
        <v>8</v>
      </c>
      <c r="B1378" s="5">
        <v>1375</v>
      </c>
      <c r="C1378" s="5">
        <v>353</v>
      </c>
      <c r="D1378" s="16">
        <v>56.2</v>
      </c>
      <c r="E1378" s="1">
        <f t="shared" si="126"/>
        <v>-0.41666666666666663</v>
      </c>
      <c r="F1378">
        <f t="shared" si="127"/>
        <v>0</v>
      </c>
      <c r="G1378">
        <f t="shared" si="128"/>
        <v>523.07063168213563</v>
      </c>
      <c r="I1378">
        <f t="shared" si="129"/>
        <v>5.5555555555555556E-4</v>
      </c>
      <c r="J1378">
        <f t="shared" si="130"/>
        <v>0</v>
      </c>
      <c r="K1378">
        <f t="shared" si="131"/>
        <v>1.2553695160371254</v>
      </c>
    </row>
    <row r="1379" spans="1:11" x14ac:dyDescent="0.35">
      <c r="A1379" s="5" t="s">
        <v>8</v>
      </c>
      <c r="B1379" s="5">
        <v>1376</v>
      </c>
      <c r="C1379" s="5">
        <v>354</v>
      </c>
      <c r="D1379" s="16">
        <v>54.3</v>
      </c>
      <c r="E1379" s="1">
        <f t="shared" si="126"/>
        <v>-0.75000000000000078</v>
      </c>
      <c r="F1379">
        <f t="shared" si="127"/>
        <v>0</v>
      </c>
      <c r="G1379">
        <f t="shared" si="128"/>
        <v>505.38674911636946</v>
      </c>
      <c r="I1379">
        <f t="shared" si="129"/>
        <v>5.5555555555555556E-4</v>
      </c>
      <c r="J1379">
        <f t="shared" si="130"/>
        <v>0</v>
      </c>
      <c r="K1379">
        <f t="shared" si="131"/>
        <v>1.2129281978792867</v>
      </c>
    </row>
    <row r="1380" spans="1:11" x14ac:dyDescent="0.35">
      <c r="A1380" s="5" t="s">
        <v>8</v>
      </c>
      <c r="B1380" s="5">
        <v>1377</v>
      </c>
      <c r="C1380" s="5">
        <v>355</v>
      </c>
      <c r="D1380" s="16">
        <v>50.8</v>
      </c>
      <c r="E1380" s="1">
        <f t="shared" si="126"/>
        <v>-1.2222222222222219</v>
      </c>
      <c r="F1380">
        <f t="shared" si="127"/>
        <v>0</v>
      </c>
      <c r="G1380">
        <f t="shared" si="128"/>
        <v>472.8111759689055</v>
      </c>
      <c r="I1380">
        <f t="shared" si="129"/>
        <v>5.5555555555555556E-4</v>
      </c>
      <c r="J1380">
        <f t="shared" si="130"/>
        <v>0</v>
      </c>
      <c r="K1380">
        <f t="shared" si="131"/>
        <v>1.1347468223253732</v>
      </c>
    </row>
    <row r="1381" spans="1:11" x14ac:dyDescent="0.35">
      <c r="A1381" s="5" t="s">
        <v>8</v>
      </c>
      <c r="B1381" s="5">
        <v>1378</v>
      </c>
      <c r="C1381" s="5">
        <v>356</v>
      </c>
      <c r="D1381" s="16">
        <v>45.5</v>
      </c>
      <c r="E1381" s="1">
        <f t="shared" si="126"/>
        <v>-1.4722222222222214</v>
      </c>
      <c r="F1381">
        <f t="shared" si="127"/>
        <v>0</v>
      </c>
      <c r="G1381">
        <f t="shared" si="128"/>
        <v>423.48245091703149</v>
      </c>
      <c r="I1381">
        <f t="shared" si="129"/>
        <v>5.5555555555555556E-4</v>
      </c>
      <c r="J1381">
        <f t="shared" si="130"/>
        <v>0</v>
      </c>
      <c r="K1381">
        <f t="shared" si="131"/>
        <v>1.0163578822008756</v>
      </c>
    </row>
    <row r="1382" spans="1:11" x14ac:dyDescent="0.35">
      <c r="A1382" s="5" t="s">
        <v>8</v>
      </c>
      <c r="B1382" s="5">
        <v>1379</v>
      </c>
      <c r="C1382" s="5">
        <v>357</v>
      </c>
      <c r="D1382" s="16">
        <v>40.200000000000003</v>
      </c>
      <c r="E1382" s="1">
        <f t="shared" si="126"/>
        <v>-1.4722222222222223</v>
      </c>
      <c r="F1382">
        <f t="shared" si="127"/>
        <v>0</v>
      </c>
      <c r="G1382">
        <f t="shared" si="128"/>
        <v>374.15372586515747</v>
      </c>
      <c r="I1382">
        <f t="shared" si="129"/>
        <v>5.5555555555555556E-4</v>
      </c>
      <c r="J1382">
        <f t="shared" si="130"/>
        <v>0</v>
      </c>
      <c r="K1382">
        <f t="shared" si="131"/>
        <v>0.89796894207637801</v>
      </c>
    </row>
    <row r="1383" spans="1:11" x14ac:dyDescent="0.35">
      <c r="A1383" s="5" t="s">
        <v>8</v>
      </c>
      <c r="B1383" s="5">
        <v>1380</v>
      </c>
      <c r="C1383" s="5">
        <v>358</v>
      </c>
      <c r="D1383" s="16">
        <v>34.9</v>
      </c>
      <c r="E1383" s="1">
        <f t="shared" si="126"/>
        <v>-1.4722222222222223</v>
      </c>
      <c r="F1383">
        <f t="shared" si="127"/>
        <v>0</v>
      </c>
      <c r="G1383">
        <f t="shared" si="128"/>
        <v>324.82500081328351</v>
      </c>
      <c r="I1383">
        <f t="shared" si="129"/>
        <v>5.5555555555555556E-4</v>
      </c>
      <c r="J1383">
        <f t="shared" si="130"/>
        <v>0</v>
      </c>
      <c r="K1383">
        <f t="shared" si="131"/>
        <v>0.77958000195188049</v>
      </c>
    </row>
    <row r="1384" spans="1:11" x14ac:dyDescent="0.35">
      <c r="A1384" s="5" t="s">
        <v>8</v>
      </c>
      <c r="B1384" s="5">
        <v>1381</v>
      </c>
      <c r="C1384" s="5">
        <v>359</v>
      </c>
      <c r="D1384" s="16">
        <v>29.6</v>
      </c>
      <c r="E1384" s="1">
        <f t="shared" si="126"/>
        <v>-1.0555555555555551</v>
      </c>
      <c r="F1384">
        <f t="shared" si="127"/>
        <v>0</v>
      </c>
      <c r="G1384">
        <f t="shared" si="128"/>
        <v>275.49627576140949</v>
      </c>
      <c r="I1384">
        <f t="shared" si="129"/>
        <v>5.5555555555555556E-4</v>
      </c>
      <c r="J1384">
        <f t="shared" si="130"/>
        <v>0</v>
      </c>
      <c r="K1384">
        <f t="shared" si="131"/>
        <v>0.66119106182738274</v>
      </c>
    </row>
    <row r="1385" spans="1:11" x14ac:dyDescent="0.35">
      <c r="A1385" s="5" t="s">
        <v>8</v>
      </c>
      <c r="B1385" s="5">
        <v>1382</v>
      </c>
      <c r="C1385" s="5">
        <v>360</v>
      </c>
      <c r="D1385" s="16">
        <v>27.3</v>
      </c>
      <c r="E1385" s="1">
        <f t="shared" si="126"/>
        <v>-4.1666666666666761E-2</v>
      </c>
      <c r="F1385">
        <f t="shared" si="127"/>
        <v>55.167543416666618</v>
      </c>
      <c r="G1385">
        <f t="shared" si="128"/>
        <v>254.08947055021889</v>
      </c>
      <c r="I1385">
        <f t="shared" si="129"/>
        <v>5.5555555555555556E-4</v>
      </c>
      <c r="J1385">
        <f t="shared" si="130"/>
        <v>7.6621588078703631E-2</v>
      </c>
      <c r="K1385">
        <f t="shared" si="131"/>
        <v>0.60981472932052538</v>
      </c>
    </row>
    <row r="1386" spans="1:11" x14ac:dyDescent="0.35">
      <c r="A1386" s="5" t="s">
        <v>8</v>
      </c>
      <c r="B1386" s="5">
        <v>1383</v>
      </c>
      <c r="C1386" s="5">
        <v>361</v>
      </c>
      <c r="D1386" s="16">
        <v>29.3</v>
      </c>
      <c r="E1386" s="1">
        <f t="shared" si="126"/>
        <v>0.77777777777777746</v>
      </c>
      <c r="F1386">
        <f t="shared" si="127"/>
        <v>429.90761860185165</v>
      </c>
      <c r="G1386">
        <f t="shared" si="128"/>
        <v>272.70408377734117</v>
      </c>
      <c r="I1386">
        <f t="shared" si="129"/>
        <v>5.5555555555555556E-4</v>
      </c>
      <c r="J1386">
        <f t="shared" si="130"/>
        <v>0.59709391472479401</v>
      </c>
      <c r="K1386">
        <f t="shared" si="131"/>
        <v>0.65448980106561883</v>
      </c>
    </row>
    <row r="1387" spans="1:11" x14ac:dyDescent="0.35">
      <c r="A1387" s="5" t="s">
        <v>8</v>
      </c>
      <c r="B1387" s="5">
        <v>1384</v>
      </c>
      <c r="C1387" s="5">
        <v>362</v>
      </c>
      <c r="D1387" s="16">
        <v>32.9</v>
      </c>
      <c r="E1387" s="1">
        <f t="shared" si="126"/>
        <v>0.87500000000000011</v>
      </c>
      <c r="F1387">
        <f t="shared" si="127"/>
        <v>476.36425260185189</v>
      </c>
      <c r="G1387">
        <f t="shared" si="128"/>
        <v>306.21038758616123</v>
      </c>
      <c r="I1387">
        <f t="shared" si="129"/>
        <v>5.5555555555555556E-4</v>
      </c>
      <c r="J1387">
        <f t="shared" si="130"/>
        <v>0.66161701750257207</v>
      </c>
      <c r="K1387">
        <f t="shared" si="131"/>
        <v>0.73490493020678693</v>
      </c>
    </row>
    <row r="1388" spans="1:11" x14ac:dyDescent="0.35">
      <c r="A1388" s="5" t="s">
        <v>8</v>
      </c>
      <c r="B1388" s="5">
        <v>1385</v>
      </c>
      <c r="C1388" s="5">
        <v>363</v>
      </c>
      <c r="D1388" s="16">
        <v>35.6</v>
      </c>
      <c r="E1388" s="1">
        <f t="shared" si="126"/>
        <v>0.52777777777777835</v>
      </c>
      <c r="F1388">
        <f t="shared" si="127"/>
        <v>319.78469051851874</v>
      </c>
      <c r="G1388">
        <f t="shared" si="128"/>
        <v>331.34011544277627</v>
      </c>
      <c r="I1388">
        <f t="shared" si="129"/>
        <v>5.5555555555555556E-4</v>
      </c>
      <c r="J1388">
        <f t="shared" si="130"/>
        <v>0.44414540349794268</v>
      </c>
      <c r="K1388">
        <f t="shared" si="131"/>
        <v>0.79521627706266307</v>
      </c>
    </row>
    <row r="1389" spans="1:11" x14ac:dyDescent="0.35">
      <c r="A1389" s="5" t="s">
        <v>8</v>
      </c>
      <c r="B1389" s="5">
        <v>1386</v>
      </c>
      <c r="C1389" s="5">
        <v>364</v>
      </c>
      <c r="D1389" s="16">
        <v>36.700000000000003</v>
      </c>
      <c r="E1389" s="1">
        <f t="shared" si="126"/>
        <v>0.27777777777777779</v>
      </c>
      <c r="F1389">
        <f t="shared" si="127"/>
        <v>206.5388263796296</v>
      </c>
      <c r="G1389">
        <f t="shared" si="128"/>
        <v>341.57815271769351</v>
      </c>
      <c r="I1389">
        <f t="shared" si="129"/>
        <v>5.5555555555555556E-4</v>
      </c>
      <c r="J1389">
        <f t="shared" si="130"/>
        <v>0.28685948108281889</v>
      </c>
      <c r="K1389">
        <f t="shared" si="131"/>
        <v>0.81978756652246454</v>
      </c>
    </row>
    <row r="1390" spans="1:11" x14ac:dyDescent="0.35">
      <c r="A1390" s="5" t="s">
        <v>8</v>
      </c>
      <c r="B1390" s="5">
        <v>1387</v>
      </c>
      <c r="C1390" s="5">
        <v>365</v>
      </c>
      <c r="D1390" s="16">
        <v>37.6</v>
      </c>
      <c r="E1390" s="1">
        <f t="shared" si="126"/>
        <v>0.37499999999999939</v>
      </c>
      <c r="F1390">
        <f t="shared" si="127"/>
        <v>251.50624829629595</v>
      </c>
      <c r="G1390">
        <f t="shared" si="128"/>
        <v>349.95472866989854</v>
      </c>
      <c r="I1390">
        <f t="shared" si="129"/>
        <v>5.5555555555555556E-4</v>
      </c>
      <c r="J1390">
        <f t="shared" si="130"/>
        <v>0.34931423374485548</v>
      </c>
      <c r="K1390">
        <f t="shared" si="131"/>
        <v>0.83989134880775651</v>
      </c>
    </row>
    <row r="1391" spans="1:11" x14ac:dyDescent="0.35">
      <c r="A1391" s="5" t="s">
        <v>8</v>
      </c>
      <c r="B1391" s="5">
        <v>1388</v>
      </c>
      <c r="C1391" s="5">
        <v>366</v>
      </c>
      <c r="D1391" s="16">
        <v>39.4</v>
      </c>
      <c r="E1391" s="1">
        <f t="shared" si="126"/>
        <v>0.68055555555555536</v>
      </c>
      <c r="F1391">
        <f t="shared" si="127"/>
        <v>392.1538432962962</v>
      </c>
      <c r="G1391">
        <f t="shared" si="128"/>
        <v>366.7078805743086</v>
      </c>
      <c r="I1391">
        <f t="shared" si="129"/>
        <v>5.5555555555555556E-4</v>
      </c>
      <c r="J1391">
        <f t="shared" si="130"/>
        <v>0.54465811568930023</v>
      </c>
      <c r="K1391">
        <f t="shared" si="131"/>
        <v>0.88009891337834067</v>
      </c>
    </row>
    <row r="1392" spans="1:11" x14ac:dyDescent="0.35">
      <c r="A1392" s="5" t="s">
        <v>8</v>
      </c>
      <c r="B1392" s="5">
        <v>1389</v>
      </c>
      <c r="C1392" s="5">
        <v>367</v>
      </c>
      <c r="D1392" s="16">
        <v>42.5</v>
      </c>
      <c r="E1392" s="1">
        <f t="shared" si="126"/>
        <v>0.98611111111111127</v>
      </c>
      <c r="F1392">
        <f t="shared" si="127"/>
        <v>533.89466504629638</v>
      </c>
      <c r="G1392">
        <f t="shared" si="128"/>
        <v>395.56053107634807</v>
      </c>
      <c r="I1392">
        <f t="shared" si="129"/>
        <v>5.5555555555555556E-4</v>
      </c>
      <c r="J1392">
        <f t="shared" si="130"/>
        <v>0.74152036811985611</v>
      </c>
      <c r="K1392">
        <f t="shared" si="131"/>
        <v>0.94934527458323537</v>
      </c>
    </row>
    <row r="1393" spans="1:11" x14ac:dyDescent="0.35">
      <c r="A1393" s="5" t="s">
        <v>8</v>
      </c>
      <c r="B1393" s="5">
        <v>1390</v>
      </c>
      <c r="C1393" s="5">
        <v>368</v>
      </c>
      <c r="D1393" s="16">
        <v>46.5</v>
      </c>
      <c r="E1393" s="1">
        <f t="shared" si="126"/>
        <v>1.0694444444444449</v>
      </c>
      <c r="F1393">
        <f t="shared" si="127"/>
        <v>575.27040208333347</v>
      </c>
      <c r="G1393">
        <f t="shared" si="128"/>
        <v>432.78975753059262</v>
      </c>
      <c r="I1393">
        <f t="shared" si="129"/>
        <v>5.5555555555555556E-4</v>
      </c>
      <c r="J1393">
        <f t="shared" si="130"/>
        <v>0.79898666956018538</v>
      </c>
      <c r="K1393">
        <f t="shared" si="131"/>
        <v>1.0386954180734225</v>
      </c>
    </row>
    <row r="1394" spans="1:11" x14ac:dyDescent="0.35">
      <c r="A1394" s="5" t="s">
        <v>8</v>
      </c>
      <c r="B1394" s="5">
        <v>1391</v>
      </c>
      <c r="C1394" s="5">
        <v>369</v>
      </c>
      <c r="D1394" s="16">
        <v>50.2</v>
      </c>
      <c r="E1394" s="1">
        <f t="shared" si="126"/>
        <v>0.87499999999999956</v>
      </c>
      <c r="F1394">
        <f t="shared" si="127"/>
        <v>489.99644596296275</v>
      </c>
      <c r="G1394">
        <f t="shared" si="128"/>
        <v>467.2267920007688</v>
      </c>
      <c r="I1394">
        <f t="shared" si="129"/>
        <v>5.5555555555555556E-4</v>
      </c>
      <c r="J1394">
        <f t="shared" si="130"/>
        <v>0.68055061939300387</v>
      </c>
      <c r="K1394">
        <f t="shared" si="131"/>
        <v>1.1213443008018451</v>
      </c>
    </row>
    <row r="1395" spans="1:11" x14ac:dyDescent="0.35">
      <c r="A1395" s="5" t="s">
        <v>8</v>
      </c>
      <c r="B1395" s="5">
        <v>1392</v>
      </c>
      <c r="C1395" s="5">
        <v>370</v>
      </c>
      <c r="D1395" s="16">
        <v>52.8</v>
      </c>
      <c r="E1395" s="1">
        <f t="shared" si="126"/>
        <v>0.56944444444444364</v>
      </c>
      <c r="F1395">
        <f t="shared" si="127"/>
        <v>353.20250133333292</v>
      </c>
      <c r="G1395">
        <f t="shared" si="128"/>
        <v>491.42578919602778</v>
      </c>
      <c r="I1395">
        <f t="shared" si="129"/>
        <v>5.5555555555555556E-4</v>
      </c>
      <c r="J1395">
        <f t="shared" si="130"/>
        <v>0.49055902962962905</v>
      </c>
      <c r="K1395">
        <f t="shared" si="131"/>
        <v>1.1794218940704666</v>
      </c>
    </row>
    <row r="1396" spans="1:11" x14ac:dyDescent="0.35">
      <c r="A1396" s="5" t="s">
        <v>8</v>
      </c>
      <c r="B1396" s="5">
        <v>1393</v>
      </c>
      <c r="C1396" s="5">
        <v>371</v>
      </c>
      <c r="D1396" s="16">
        <v>54.3</v>
      </c>
      <c r="E1396" s="1">
        <f t="shared" si="126"/>
        <v>0.29166666666666685</v>
      </c>
      <c r="F1396">
        <f t="shared" si="127"/>
        <v>228.05918341666677</v>
      </c>
      <c r="G1396">
        <f t="shared" si="128"/>
        <v>505.38674911636946</v>
      </c>
      <c r="I1396">
        <f t="shared" si="129"/>
        <v>5.5555555555555556E-4</v>
      </c>
      <c r="J1396">
        <f t="shared" si="130"/>
        <v>0.3167488658564816</v>
      </c>
      <c r="K1396">
        <f t="shared" si="131"/>
        <v>1.2129281978792867</v>
      </c>
    </row>
    <row r="1397" spans="1:11" x14ac:dyDescent="0.35">
      <c r="A1397" s="5" t="s">
        <v>8</v>
      </c>
      <c r="B1397" s="5">
        <v>1394</v>
      </c>
      <c r="C1397" s="5">
        <v>372</v>
      </c>
      <c r="D1397" s="16">
        <v>54.9</v>
      </c>
      <c r="E1397" s="1">
        <f t="shared" si="126"/>
        <v>8.3333333333333523E-2</v>
      </c>
      <c r="F1397">
        <f t="shared" si="127"/>
        <v>133.6804707500001</v>
      </c>
      <c r="G1397">
        <f t="shared" si="128"/>
        <v>510.97113308450611</v>
      </c>
      <c r="I1397">
        <f t="shared" si="129"/>
        <v>5.5555555555555556E-4</v>
      </c>
      <c r="J1397">
        <f t="shared" si="130"/>
        <v>0.18566732048611126</v>
      </c>
      <c r="K1397">
        <f t="shared" si="131"/>
        <v>1.2263307194028146</v>
      </c>
    </row>
    <row r="1398" spans="1:11" x14ac:dyDescent="0.35">
      <c r="A1398" s="5" t="s">
        <v>8</v>
      </c>
      <c r="B1398" s="5">
        <v>1395</v>
      </c>
      <c r="C1398" s="5">
        <v>373</v>
      </c>
      <c r="D1398" s="16">
        <v>54.9</v>
      </c>
      <c r="E1398" s="1">
        <f t="shared" si="126"/>
        <v>-2.7777777777777186E-2</v>
      </c>
      <c r="F1398">
        <f t="shared" si="127"/>
        <v>83.013804083333596</v>
      </c>
      <c r="G1398">
        <f t="shared" si="128"/>
        <v>510.97113308450611</v>
      </c>
      <c r="I1398">
        <f t="shared" si="129"/>
        <v>5.5555555555555556E-4</v>
      </c>
      <c r="J1398">
        <f t="shared" si="130"/>
        <v>0.11529695011574111</v>
      </c>
      <c r="K1398">
        <f t="shared" si="131"/>
        <v>1.2263307194028146</v>
      </c>
    </row>
    <row r="1399" spans="1:11" x14ac:dyDescent="0.35">
      <c r="A1399" s="5" t="s">
        <v>8</v>
      </c>
      <c r="B1399" s="5">
        <v>1396</v>
      </c>
      <c r="C1399" s="5">
        <v>374</v>
      </c>
      <c r="D1399" s="16">
        <v>54.7</v>
      </c>
      <c r="E1399" s="1">
        <f t="shared" si="126"/>
        <v>-0.11111111111111072</v>
      </c>
      <c r="F1399">
        <f t="shared" si="127"/>
        <v>44.805949712963141</v>
      </c>
      <c r="G1399">
        <f t="shared" si="128"/>
        <v>509.10967176179389</v>
      </c>
      <c r="I1399">
        <f t="shared" si="129"/>
        <v>5.5555555555555556E-4</v>
      </c>
      <c r="J1399">
        <f t="shared" si="130"/>
        <v>6.223048571244881E-2</v>
      </c>
      <c r="K1399">
        <f t="shared" si="131"/>
        <v>1.2218632122283053</v>
      </c>
    </row>
    <row r="1400" spans="1:11" x14ac:dyDescent="0.35">
      <c r="A1400" s="5" t="s">
        <v>8</v>
      </c>
      <c r="B1400" s="5">
        <v>1397</v>
      </c>
      <c r="C1400" s="5">
        <v>375</v>
      </c>
      <c r="D1400" s="16">
        <v>54.1</v>
      </c>
      <c r="E1400" s="1">
        <f t="shared" si="126"/>
        <v>-0.20833333333333331</v>
      </c>
      <c r="F1400">
        <f t="shared" si="127"/>
        <v>0</v>
      </c>
      <c r="G1400">
        <f t="shared" si="128"/>
        <v>503.52528779365724</v>
      </c>
      <c r="I1400">
        <f t="shared" si="129"/>
        <v>5.5555555555555556E-4</v>
      </c>
      <c r="J1400">
        <f t="shared" si="130"/>
        <v>0</v>
      </c>
      <c r="K1400">
        <f t="shared" si="131"/>
        <v>1.2084606907047772</v>
      </c>
    </row>
    <row r="1401" spans="1:11" x14ac:dyDescent="0.35">
      <c r="A1401" s="5" t="s">
        <v>8</v>
      </c>
      <c r="B1401" s="5">
        <v>1398</v>
      </c>
      <c r="C1401" s="5">
        <v>376</v>
      </c>
      <c r="D1401" s="16">
        <v>53.2</v>
      </c>
      <c r="E1401" s="1">
        <f t="shared" si="126"/>
        <v>-0.27777777777777779</v>
      </c>
      <c r="F1401">
        <f t="shared" si="127"/>
        <v>0</v>
      </c>
      <c r="G1401">
        <f t="shared" si="128"/>
        <v>495.14871184145221</v>
      </c>
      <c r="I1401">
        <f t="shared" si="129"/>
        <v>5.5555555555555556E-4</v>
      </c>
      <c r="J1401">
        <f t="shared" si="130"/>
        <v>0</v>
      </c>
      <c r="K1401">
        <f t="shared" si="131"/>
        <v>1.1883569084194854</v>
      </c>
    </row>
    <row r="1402" spans="1:11" x14ac:dyDescent="0.35">
      <c r="A1402" s="5" t="s">
        <v>8</v>
      </c>
      <c r="B1402" s="5">
        <v>1399</v>
      </c>
      <c r="C1402" s="5">
        <v>377</v>
      </c>
      <c r="D1402" s="16">
        <v>52.1</v>
      </c>
      <c r="E1402" s="1">
        <f t="shared" si="126"/>
        <v>-0.34722222222222221</v>
      </c>
      <c r="F1402">
        <f t="shared" si="127"/>
        <v>0</v>
      </c>
      <c r="G1402">
        <f t="shared" si="128"/>
        <v>484.91067456653496</v>
      </c>
      <c r="I1402">
        <f t="shared" si="129"/>
        <v>5.5555555555555556E-4</v>
      </c>
      <c r="J1402">
        <f t="shared" si="130"/>
        <v>0</v>
      </c>
      <c r="K1402">
        <f t="shared" si="131"/>
        <v>1.163785618959684</v>
      </c>
    </row>
    <row r="1403" spans="1:11" x14ac:dyDescent="0.35">
      <c r="A1403" s="5" t="s">
        <v>8</v>
      </c>
      <c r="B1403" s="5">
        <v>1400</v>
      </c>
      <c r="C1403" s="5">
        <v>378</v>
      </c>
      <c r="D1403" s="16">
        <v>50.7</v>
      </c>
      <c r="E1403" s="1">
        <f t="shared" si="126"/>
        <v>-0.41666666666666663</v>
      </c>
      <c r="F1403">
        <f t="shared" si="127"/>
        <v>0</v>
      </c>
      <c r="G1403">
        <f t="shared" si="128"/>
        <v>471.88044530754939</v>
      </c>
      <c r="I1403">
        <f t="shared" si="129"/>
        <v>5.5555555555555556E-4</v>
      </c>
      <c r="J1403">
        <f t="shared" si="130"/>
        <v>0</v>
      </c>
      <c r="K1403">
        <f t="shared" si="131"/>
        <v>1.1325130687381184</v>
      </c>
    </row>
    <row r="1404" spans="1:11" x14ac:dyDescent="0.35">
      <c r="A1404" s="5" t="s">
        <v>8</v>
      </c>
      <c r="B1404" s="5">
        <v>1401</v>
      </c>
      <c r="C1404" s="5">
        <v>379</v>
      </c>
      <c r="D1404" s="16">
        <v>49.1</v>
      </c>
      <c r="E1404" s="1">
        <f t="shared" si="126"/>
        <v>-0.45833333333333393</v>
      </c>
      <c r="F1404">
        <f t="shared" si="127"/>
        <v>0</v>
      </c>
      <c r="G1404">
        <f t="shared" si="128"/>
        <v>456.98875472585155</v>
      </c>
      <c r="I1404">
        <f t="shared" si="129"/>
        <v>5.5555555555555556E-4</v>
      </c>
      <c r="J1404">
        <f t="shared" si="130"/>
        <v>0</v>
      </c>
      <c r="K1404">
        <f t="shared" si="131"/>
        <v>1.0967730113420437</v>
      </c>
    </row>
    <row r="1405" spans="1:11" x14ac:dyDescent="0.35">
      <c r="A1405" s="5" t="s">
        <v>8</v>
      </c>
      <c r="B1405" s="5">
        <v>1402</v>
      </c>
      <c r="C1405" s="5">
        <v>380</v>
      </c>
      <c r="D1405" s="16">
        <v>47.4</v>
      </c>
      <c r="E1405" s="1">
        <f t="shared" si="126"/>
        <v>-0.54166666666666641</v>
      </c>
      <c r="F1405">
        <f t="shared" si="127"/>
        <v>0</v>
      </c>
      <c r="G1405">
        <f t="shared" si="128"/>
        <v>441.16633348279765</v>
      </c>
      <c r="I1405">
        <f t="shared" si="129"/>
        <v>5.5555555555555556E-4</v>
      </c>
      <c r="J1405">
        <f t="shared" si="130"/>
        <v>0</v>
      </c>
      <c r="K1405">
        <f t="shared" si="131"/>
        <v>1.0587992003587143</v>
      </c>
    </row>
    <row r="1406" spans="1:11" x14ac:dyDescent="0.35">
      <c r="A1406" s="5" t="s">
        <v>8</v>
      </c>
      <c r="B1406" s="5">
        <v>1403</v>
      </c>
      <c r="C1406" s="5">
        <v>381</v>
      </c>
      <c r="D1406" s="16">
        <v>45.2</v>
      </c>
      <c r="E1406" s="1">
        <f t="shared" si="126"/>
        <v>-0.7777777777777779</v>
      </c>
      <c r="F1406">
        <f t="shared" si="127"/>
        <v>0</v>
      </c>
      <c r="G1406">
        <f t="shared" si="128"/>
        <v>420.69025893296316</v>
      </c>
      <c r="I1406">
        <f t="shared" si="129"/>
        <v>5.5555555555555556E-4</v>
      </c>
      <c r="J1406">
        <f t="shared" si="130"/>
        <v>0</v>
      </c>
      <c r="K1406">
        <f t="shared" si="131"/>
        <v>1.0096566214391116</v>
      </c>
    </row>
    <row r="1407" spans="1:11" x14ac:dyDescent="0.35">
      <c r="A1407" s="5" t="s">
        <v>8</v>
      </c>
      <c r="B1407" s="5">
        <v>1404</v>
      </c>
      <c r="C1407" s="5">
        <v>382</v>
      </c>
      <c r="D1407" s="16">
        <v>41.8</v>
      </c>
      <c r="E1407" s="1">
        <f t="shared" si="126"/>
        <v>-1.2083333333333337</v>
      </c>
      <c r="F1407">
        <f t="shared" si="127"/>
        <v>0</v>
      </c>
      <c r="G1407">
        <f t="shared" si="128"/>
        <v>389.04541644685531</v>
      </c>
      <c r="I1407">
        <f t="shared" si="129"/>
        <v>5.5555555555555556E-4</v>
      </c>
      <c r="J1407">
        <f t="shared" si="130"/>
        <v>0</v>
      </c>
      <c r="K1407">
        <f t="shared" si="131"/>
        <v>0.93370899947245278</v>
      </c>
    </row>
    <row r="1408" spans="1:11" x14ac:dyDescent="0.35">
      <c r="A1408" s="5" t="s">
        <v>8</v>
      </c>
      <c r="B1408" s="5">
        <v>1405</v>
      </c>
      <c r="C1408" s="5">
        <v>383</v>
      </c>
      <c r="D1408" s="16">
        <v>36.5</v>
      </c>
      <c r="E1408" s="1">
        <f t="shared" si="126"/>
        <v>-1.4722222222222219</v>
      </c>
      <c r="F1408">
        <f t="shared" si="127"/>
        <v>0</v>
      </c>
      <c r="G1408">
        <f t="shared" si="128"/>
        <v>339.7166913949813</v>
      </c>
      <c r="I1408">
        <f t="shared" si="129"/>
        <v>5.5555555555555556E-4</v>
      </c>
      <c r="J1408">
        <f t="shared" si="130"/>
        <v>0</v>
      </c>
      <c r="K1408">
        <f t="shared" si="131"/>
        <v>0.81532005934795504</v>
      </c>
    </row>
    <row r="1409" spans="1:11" x14ac:dyDescent="0.35">
      <c r="A1409" s="5" t="s">
        <v>8</v>
      </c>
      <c r="B1409" s="5">
        <v>1406</v>
      </c>
      <c r="C1409" s="5">
        <v>384</v>
      </c>
      <c r="D1409" s="16">
        <v>31.2</v>
      </c>
      <c r="E1409" s="1">
        <f t="shared" si="126"/>
        <v>-1.2361111111111109</v>
      </c>
      <c r="F1409">
        <f t="shared" si="127"/>
        <v>0</v>
      </c>
      <c r="G1409">
        <f t="shared" si="128"/>
        <v>290.38796634310728</v>
      </c>
      <c r="I1409">
        <f t="shared" si="129"/>
        <v>5.5555555555555556E-4</v>
      </c>
      <c r="J1409">
        <f t="shared" si="130"/>
        <v>0</v>
      </c>
      <c r="K1409">
        <f t="shared" si="131"/>
        <v>0.69693111922345752</v>
      </c>
    </row>
    <row r="1410" spans="1:11" x14ac:dyDescent="0.35">
      <c r="A1410" s="5" t="s">
        <v>8</v>
      </c>
      <c r="B1410" s="5">
        <v>1407</v>
      </c>
      <c r="C1410" s="5">
        <v>385</v>
      </c>
      <c r="D1410" s="16">
        <v>27.6</v>
      </c>
      <c r="E1410" s="1">
        <f t="shared" si="126"/>
        <v>-0.59722222222222232</v>
      </c>
      <c r="F1410">
        <f t="shared" si="127"/>
        <v>0</v>
      </c>
      <c r="G1410">
        <f t="shared" si="128"/>
        <v>256.88166253428722</v>
      </c>
      <c r="I1410">
        <f t="shared" si="129"/>
        <v>5.5555555555555556E-4</v>
      </c>
      <c r="J1410">
        <f t="shared" si="130"/>
        <v>0</v>
      </c>
      <c r="K1410">
        <f t="shared" si="131"/>
        <v>0.61651599008228941</v>
      </c>
    </row>
    <row r="1411" spans="1:11" x14ac:dyDescent="0.35">
      <c r="A1411" s="5" t="s">
        <v>8</v>
      </c>
      <c r="B1411" s="5">
        <v>1408</v>
      </c>
      <c r="C1411" s="5">
        <v>386</v>
      </c>
      <c r="D1411" s="16">
        <v>26.9</v>
      </c>
      <c r="E1411" s="1">
        <f t="shared" si="126"/>
        <v>-4.1666666666666761E-2</v>
      </c>
      <c r="F1411">
        <f t="shared" si="127"/>
        <v>54.96196482407403</v>
      </c>
      <c r="G1411">
        <f t="shared" si="128"/>
        <v>250.36654790479443</v>
      </c>
      <c r="I1411">
        <f t="shared" si="129"/>
        <v>5.5555555555555556E-4</v>
      </c>
      <c r="J1411">
        <f t="shared" si="130"/>
        <v>7.633606225565838E-2</v>
      </c>
      <c r="K1411">
        <f t="shared" si="131"/>
        <v>0.60087971497150661</v>
      </c>
    </row>
    <row r="1412" spans="1:11" x14ac:dyDescent="0.35">
      <c r="A1412" s="5" t="s">
        <v>8</v>
      </c>
      <c r="B1412" s="5">
        <v>1409</v>
      </c>
      <c r="C1412" s="5">
        <v>387</v>
      </c>
      <c r="D1412" s="16">
        <v>27.3</v>
      </c>
      <c r="E1412" s="1">
        <f t="shared" si="126"/>
        <v>8.3333333333333523E-2</v>
      </c>
      <c r="F1412">
        <f t="shared" si="127"/>
        <v>112.16754341666676</v>
      </c>
      <c r="G1412">
        <f t="shared" si="128"/>
        <v>254.08947055021889</v>
      </c>
      <c r="I1412">
        <f t="shared" si="129"/>
        <v>5.5555555555555556E-4</v>
      </c>
      <c r="J1412">
        <f t="shared" si="130"/>
        <v>0.1557882547453705</v>
      </c>
      <c r="K1412">
        <f t="shared" si="131"/>
        <v>0.60981472932052538</v>
      </c>
    </row>
    <row r="1413" spans="1:11" x14ac:dyDescent="0.35">
      <c r="A1413" s="5" t="s">
        <v>8</v>
      </c>
      <c r="B1413" s="5">
        <v>1410</v>
      </c>
      <c r="C1413" s="5">
        <v>388</v>
      </c>
      <c r="D1413" s="16">
        <v>27.5</v>
      </c>
      <c r="E1413" s="1">
        <f t="shared" ref="E1413:E1476" si="132">($D1414-$D1412)/2/3.6</f>
        <v>1.3888888888888593E-2</v>
      </c>
      <c r="F1413">
        <f t="shared" ref="F1413:F1476" si="133">IF(D1413=0,0,MAX(0,0.285*(1600*E1413 + 1600*9.81*0.015 + 0.5*1.225*0.32*2.2*(D1413/3.6)^2)))</f>
        <v>80.604803935185046</v>
      </c>
      <c r="G1413">
        <f t="shared" ref="G1413:G1476" si="134">60*D1413/(2*PI()*3.6*0.285)</f>
        <v>255.95093187293111</v>
      </c>
      <c r="I1413">
        <f t="shared" ref="I1413:I1476" si="135">1/1800</f>
        <v>5.5555555555555556E-4</v>
      </c>
      <c r="J1413">
        <f t="shared" ref="J1413:J1476" si="136">F1413/(M$3*3.6)</f>
        <v>0.1119511165766459</v>
      </c>
      <c r="K1413">
        <f t="shared" ref="K1413:K1476" si="137">G1413*3.6/N$3</f>
        <v>0.61428223649503466</v>
      </c>
    </row>
    <row r="1414" spans="1:11" x14ac:dyDescent="0.35">
      <c r="A1414" s="5" t="s">
        <v>8</v>
      </c>
      <c r="B1414" s="5">
        <v>1411</v>
      </c>
      <c r="C1414" s="5">
        <v>389</v>
      </c>
      <c r="D1414" s="16">
        <v>27.4</v>
      </c>
      <c r="E1414" s="1">
        <f t="shared" si="132"/>
        <v>-5.5555555555555358E-2</v>
      </c>
      <c r="F1414">
        <f t="shared" si="133"/>
        <v>48.886078851851934</v>
      </c>
      <c r="G1414">
        <f t="shared" si="134"/>
        <v>255.020201211575</v>
      </c>
      <c r="I1414">
        <f t="shared" si="135"/>
        <v>5.5555555555555556E-4</v>
      </c>
      <c r="J1414">
        <f t="shared" si="136"/>
        <v>6.7897331738683245E-2</v>
      </c>
      <c r="K1414">
        <f t="shared" si="137"/>
        <v>0.61204848290778002</v>
      </c>
    </row>
    <row r="1415" spans="1:11" x14ac:dyDescent="0.35">
      <c r="A1415" s="5" t="s">
        <v>8</v>
      </c>
      <c r="B1415" s="5">
        <v>1412</v>
      </c>
      <c r="C1415" s="5">
        <v>390</v>
      </c>
      <c r="D1415" s="16">
        <v>27.1</v>
      </c>
      <c r="E1415" s="1">
        <f t="shared" si="132"/>
        <v>-9.7222222222222127E-2</v>
      </c>
      <c r="F1415">
        <f t="shared" si="133"/>
        <v>29.731041490740783</v>
      </c>
      <c r="G1415">
        <f t="shared" si="134"/>
        <v>252.22800922750667</v>
      </c>
      <c r="I1415">
        <f t="shared" si="135"/>
        <v>5.5555555555555556E-4</v>
      </c>
      <c r="J1415">
        <f t="shared" si="136"/>
        <v>4.129311318158442E-2</v>
      </c>
      <c r="K1415">
        <f t="shared" si="137"/>
        <v>0.60534722214601611</v>
      </c>
    </row>
    <row r="1416" spans="1:11" x14ac:dyDescent="0.35">
      <c r="A1416" s="5" t="s">
        <v>8</v>
      </c>
      <c r="B1416" s="5">
        <v>1413</v>
      </c>
      <c r="C1416" s="5">
        <v>391</v>
      </c>
      <c r="D1416" s="16">
        <v>26.7</v>
      </c>
      <c r="E1416" s="1">
        <f t="shared" si="132"/>
        <v>-4.1666666666666761E-2</v>
      </c>
      <c r="F1416">
        <f t="shared" si="133"/>
        <v>54.860313416666621</v>
      </c>
      <c r="G1416">
        <f t="shared" si="134"/>
        <v>248.50508658208221</v>
      </c>
      <c r="I1416">
        <f t="shared" si="135"/>
        <v>5.5555555555555556E-4</v>
      </c>
      <c r="J1416">
        <f t="shared" si="136"/>
        <v>7.61948797453703E-2</v>
      </c>
      <c r="K1416">
        <f t="shared" si="137"/>
        <v>0.59641220779699733</v>
      </c>
    </row>
    <row r="1417" spans="1:11" x14ac:dyDescent="0.35">
      <c r="A1417" s="5" t="s">
        <v>8</v>
      </c>
      <c r="B1417" s="5">
        <v>1414</v>
      </c>
      <c r="C1417" s="5">
        <v>392</v>
      </c>
      <c r="D1417" s="16">
        <v>26.8</v>
      </c>
      <c r="E1417" s="1">
        <f t="shared" si="132"/>
        <v>0.20833333333333331</v>
      </c>
      <c r="F1417">
        <f t="shared" si="133"/>
        <v>168.91104429629627</v>
      </c>
      <c r="G1417">
        <f t="shared" si="134"/>
        <v>249.43581724343832</v>
      </c>
      <c r="I1417">
        <f t="shared" si="135"/>
        <v>5.5555555555555556E-4</v>
      </c>
      <c r="J1417">
        <f t="shared" si="136"/>
        <v>0.23459867263374481</v>
      </c>
      <c r="K1417">
        <f t="shared" si="137"/>
        <v>0.59864596138425197</v>
      </c>
    </row>
    <row r="1418" spans="1:11" x14ac:dyDescent="0.35">
      <c r="A1418" s="5" t="s">
        <v>8</v>
      </c>
      <c r="B1418" s="5">
        <v>1415</v>
      </c>
      <c r="C1418" s="5">
        <v>393</v>
      </c>
      <c r="D1418" s="16">
        <v>28.2</v>
      </c>
      <c r="E1418" s="1">
        <f t="shared" si="132"/>
        <v>0.59722222222222232</v>
      </c>
      <c r="F1418">
        <f t="shared" si="133"/>
        <v>346.97452300000003</v>
      </c>
      <c r="G1418">
        <f t="shared" si="134"/>
        <v>262.46604650242392</v>
      </c>
      <c r="I1418">
        <f t="shared" si="135"/>
        <v>5.5555555555555556E-4</v>
      </c>
      <c r="J1418">
        <f t="shared" si="136"/>
        <v>0.48190905972222225</v>
      </c>
      <c r="K1418">
        <f t="shared" si="137"/>
        <v>0.62991851160581747</v>
      </c>
    </row>
    <row r="1419" spans="1:11" x14ac:dyDescent="0.35">
      <c r="A1419" s="5" t="s">
        <v>8</v>
      </c>
      <c r="B1419" s="5">
        <v>1416</v>
      </c>
      <c r="C1419" s="5">
        <v>394</v>
      </c>
      <c r="D1419" s="16">
        <v>31.1</v>
      </c>
      <c r="E1419" s="1">
        <f t="shared" si="132"/>
        <v>0.9166666666666663</v>
      </c>
      <c r="F1419">
        <f t="shared" si="133"/>
        <v>494.27187926851832</v>
      </c>
      <c r="G1419">
        <f t="shared" si="134"/>
        <v>289.45723568175117</v>
      </c>
      <c r="I1419">
        <f t="shared" si="135"/>
        <v>5.5555555555555556E-4</v>
      </c>
      <c r="J1419">
        <f t="shared" si="136"/>
        <v>0.68648872120627547</v>
      </c>
      <c r="K1419">
        <f t="shared" si="137"/>
        <v>0.69469736563620288</v>
      </c>
    </row>
    <row r="1420" spans="1:11" x14ac:dyDescent="0.35">
      <c r="A1420" s="5" t="s">
        <v>8</v>
      </c>
      <c r="B1420" s="5">
        <v>1417</v>
      </c>
      <c r="C1420" s="5">
        <v>395</v>
      </c>
      <c r="D1420" s="16">
        <v>34.799999999999997</v>
      </c>
      <c r="E1420" s="1">
        <f t="shared" si="132"/>
        <v>1.0138888888888884</v>
      </c>
      <c r="F1420">
        <f t="shared" si="133"/>
        <v>540.91730799999971</v>
      </c>
      <c r="G1420">
        <f t="shared" si="134"/>
        <v>323.8942701519274</v>
      </c>
      <c r="I1420">
        <f t="shared" si="135"/>
        <v>5.5555555555555556E-4</v>
      </c>
      <c r="J1420">
        <f t="shared" si="136"/>
        <v>0.75127403888888844</v>
      </c>
      <c r="K1420">
        <f t="shared" si="137"/>
        <v>0.77734624836462585</v>
      </c>
    </row>
    <row r="1421" spans="1:11" x14ac:dyDescent="0.35">
      <c r="A1421" s="5" t="s">
        <v>8</v>
      </c>
      <c r="B1421" s="5">
        <v>1418</v>
      </c>
      <c r="C1421" s="5">
        <v>396</v>
      </c>
      <c r="D1421" s="16">
        <v>38.4</v>
      </c>
      <c r="E1421" s="1">
        <f t="shared" si="132"/>
        <v>0.84722222222222243</v>
      </c>
      <c r="F1421">
        <f t="shared" si="133"/>
        <v>467.41611200000006</v>
      </c>
      <c r="G1421">
        <f t="shared" si="134"/>
        <v>357.40057396074747</v>
      </c>
      <c r="I1421">
        <f t="shared" si="135"/>
        <v>5.5555555555555556E-4</v>
      </c>
      <c r="J1421">
        <f t="shared" si="136"/>
        <v>0.64918904444444447</v>
      </c>
      <c r="K1421">
        <f t="shared" si="137"/>
        <v>0.85776137750579395</v>
      </c>
    </row>
    <row r="1422" spans="1:11" x14ac:dyDescent="0.35">
      <c r="A1422" s="5" t="s">
        <v>8</v>
      </c>
      <c r="B1422" s="5">
        <v>1419</v>
      </c>
      <c r="C1422" s="5">
        <v>397</v>
      </c>
      <c r="D1422" s="16">
        <v>40.9</v>
      </c>
      <c r="E1422" s="1">
        <f t="shared" si="132"/>
        <v>0.45833333333333393</v>
      </c>
      <c r="F1422">
        <f t="shared" si="133"/>
        <v>291.96266593518544</v>
      </c>
      <c r="G1422">
        <f t="shared" si="134"/>
        <v>380.66884049465028</v>
      </c>
      <c r="I1422">
        <f t="shared" si="135"/>
        <v>5.5555555555555556E-4</v>
      </c>
      <c r="J1422">
        <f t="shared" si="136"/>
        <v>0.40550370268775754</v>
      </c>
      <c r="K1422">
        <f t="shared" si="137"/>
        <v>0.91360521718716059</v>
      </c>
    </row>
    <row r="1423" spans="1:11" x14ac:dyDescent="0.35">
      <c r="A1423" s="5" t="s">
        <v>8</v>
      </c>
      <c r="B1423" s="5">
        <v>1420</v>
      </c>
      <c r="C1423" s="5">
        <v>398</v>
      </c>
      <c r="D1423" s="16">
        <v>41.7</v>
      </c>
      <c r="E1423" s="1">
        <f t="shared" si="132"/>
        <v>0</v>
      </c>
      <c r="F1423">
        <f t="shared" si="133"/>
        <v>83.589263416666668</v>
      </c>
      <c r="G1423">
        <f t="shared" si="134"/>
        <v>388.1146857854992</v>
      </c>
      <c r="I1423">
        <f t="shared" si="135"/>
        <v>5.5555555555555556E-4</v>
      </c>
      <c r="J1423">
        <f t="shared" si="136"/>
        <v>0.11609619918981481</v>
      </c>
      <c r="K1423">
        <f t="shared" si="137"/>
        <v>0.93147524588519814</v>
      </c>
    </row>
    <row r="1424" spans="1:11" x14ac:dyDescent="0.35">
      <c r="A1424" s="5" t="s">
        <v>8</v>
      </c>
      <c r="B1424" s="5">
        <v>1421</v>
      </c>
      <c r="C1424" s="5">
        <v>399</v>
      </c>
      <c r="D1424" s="16">
        <v>40.9</v>
      </c>
      <c r="E1424" s="1">
        <f t="shared" si="132"/>
        <v>-0.47222222222222299</v>
      </c>
      <c r="F1424">
        <f t="shared" si="133"/>
        <v>0</v>
      </c>
      <c r="G1424">
        <f t="shared" si="134"/>
        <v>380.66884049465028</v>
      </c>
      <c r="I1424">
        <f t="shared" si="135"/>
        <v>5.5555555555555556E-4</v>
      </c>
      <c r="J1424">
        <f t="shared" si="136"/>
        <v>0</v>
      </c>
      <c r="K1424">
        <f t="shared" si="137"/>
        <v>0.91360521718716059</v>
      </c>
    </row>
    <row r="1425" spans="1:11" x14ac:dyDescent="0.35">
      <c r="A1425" s="5" t="s">
        <v>8</v>
      </c>
      <c r="B1425" s="5">
        <v>1422</v>
      </c>
      <c r="C1425" s="5">
        <v>400</v>
      </c>
      <c r="D1425" s="16">
        <v>38.299999999999997</v>
      </c>
      <c r="E1425" s="1">
        <f t="shared" si="132"/>
        <v>-0.7777777777777779</v>
      </c>
      <c r="F1425">
        <f t="shared" si="133"/>
        <v>0</v>
      </c>
      <c r="G1425">
        <f t="shared" si="134"/>
        <v>356.46984329939136</v>
      </c>
      <c r="I1425">
        <f t="shared" si="135"/>
        <v>5.5555555555555556E-4</v>
      </c>
      <c r="J1425">
        <f t="shared" si="136"/>
        <v>0</v>
      </c>
      <c r="K1425">
        <f t="shared" si="137"/>
        <v>0.85552762391853932</v>
      </c>
    </row>
    <row r="1426" spans="1:11" x14ac:dyDescent="0.35">
      <c r="A1426" s="5" t="s">
        <v>8</v>
      </c>
      <c r="B1426" s="5">
        <v>1423</v>
      </c>
      <c r="C1426" s="5">
        <v>401</v>
      </c>
      <c r="D1426" s="16">
        <v>35.299999999999997</v>
      </c>
      <c r="E1426" s="1">
        <f t="shared" si="132"/>
        <v>-0.55555555555555558</v>
      </c>
      <c r="F1426">
        <f t="shared" si="133"/>
        <v>0</v>
      </c>
      <c r="G1426">
        <f t="shared" si="134"/>
        <v>328.54792345870794</v>
      </c>
      <c r="I1426">
        <f t="shared" si="135"/>
        <v>5.5555555555555556E-4</v>
      </c>
      <c r="J1426">
        <f t="shared" si="136"/>
        <v>0</v>
      </c>
      <c r="K1426">
        <f t="shared" si="137"/>
        <v>0.78851501630089904</v>
      </c>
    </row>
    <row r="1427" spans="1:11" x14ac:dyDescent="0.35">
      <c r="A1427" s="5" t="s">
        <v>8</v>
      </c>
      <c r="B1427" s="5">
        <v>1424</v>
      </c>
      <c r="C1427" s="5">
        <v>402</v>
      </c>
      <c r="D1427" s="16">
        <v>34.299999999999997</v>
      </c>
      <c r="E1427" s="1">
        <f t="shared" si="132"/>
        <v>-9.7222222222221627E-2</v>
      </c>
      <c r="F1427">
        <f t="shared" si="133"/>
        <v>33.923024157407674</v>
      </c>
      <c r="G1427">
        <f t="shared" si="134"/>
        <v>319.2406168451468</v>
      </c>
      <c r="I1427">
        <f t="shared" si="135"/>
        <v>5.5555555555555556E-4</v>
      </c>
      <c r="J1427">
        <f t="shared" si="136"/>
        <v>4.711531132973288E-2</v>
      </c>
      <c r="K1427">
        <f t="shared" si="137"/>
        <v>0.76617748042835232</v>
      </c>
    </row>
    <row r="1428" spans="1:11" x14ac:dyDescent="0.35">
      <c r="A1428" s="5" t="s">
        <v>8</v>
      </c>
      <c r="B1428" s="5">
        <v>1425</v>
      </c>
      <c r="C1428" s="5">
        <v>403</v>
      </c>
      <c r="D1428" s="16">
        <v>34.6</v>
      </c>
      <c r="E1428" s="1">
        <f t="shared" si="132"/>
        <v>0.27777777777777779</v>
      </c>
      <c r="F1428">
        <f t="shared" si="133"/>
        <v>205.1190255185185</v>
      </c>
      <c r="G1428">
        <f t="shared" si="134"/>
        <v>322.03280882921513</v>
      </c>
      <c r="I1428">
        <f t="shared" si="135"/>
        <v>5.5555555555555556E-4</v>
      </c>
      <c r="J1428">
        <f t="shared" si="136"/>
        <v>0.28488753544238682</v>
      </c>
      <c r="K1428">
        <f t="shared" si="137"/>
        <v>0.77287874119011635</v>
      </c>
    </row>
    <row r="1429" spans="1:11" x14ac:dyDescent="0.35">
      <c r="A1429" s="5" t="s">
        <v>8</v>
      </c>
      <c r="B1429" s="5">
        <v>1426</v>
      </c>
      <c r="C1429" s="5">
        <v>404</v>
      </c>
      <c r="D1429" s="16">
        <v>36.299999999999997</v>
      </c>
      <c r="E1429" s="1">
        <f t="shared" si="132"/>
        <v>0.68055555555555536</v>
      </c>
      <c r="F1429">
        <f t="shared" si="133"/>
        <v>389.92860674999991</v>
      </c>
      <c r="G1429">
        <f t="shared" si="134"/>
        <v>337.85523007226908</v>
      </c>
      <c r="I1429">
        <f t="shared" si="135"/>
        <v>5.5555555555555556E-4</v>
      </c>
      <c r="J1429">
        <f t="shared" si="136"/>
        <v>0.54156750937499987</v>
      </c>
      <c r="K1429">
        <f t="shared" si="137"/>
        <v>0.81085255217344576</v>
      </c>
    </row>
    <row r="1430" spans="1:11" x14ac:dyDescent="0.35">
      <c r="A1430" s="5" t="s">
        <v>8</v>
      </c>
      <c r="B1430" s="5">
        <v>1427</v>
      </c>
      <c r="C1430" s="5">
        <v>405</v>
      </c>
      <c r="D1430" s="16">
        <v>39.5</v>
      </c>
      <c r="E1430" s="1">
        <f t="shared" si="132"/>
        <v>0.76388888888888884</v>
      </c>
      <c r="F1430">
        <f t="shared" si="133"/>
        <v>430.22865949074071</v>
      </c>
      <c r="G1430">
        <f t="shared" si="134"/>
        <v>367.63861123566471</v>
      </c>
      <c r="I1430">
        <f t="shared" si="135"/>
        <v>5.5555555555555556E-4</v>
      </c>
      <c r="J1430">
        <f t="shared" si="136"/>
        <v>0.59753980484825098</v>
      </c>
      <c r="K1430">
        <f t="shared" si="137"/>
        <v>0.88233266696559531</v>
      </c>
    </row>
    <row r="1431" spans="1:11" x14ac:dyDescent="0.35">
      <c r="A1431" s="5" t="s">
        <v>8</v>
      </c>
      <c r="B1431" s="5">
        <v>1428</v>
      </c>
      <c r="C1431" s="5">
        <v>406</v>
      </c>
      <c r="D1431" s="16">
        <v>41.8</v>
      </c>
      <c r="E1431" s="1">
        <f t="shared" si="132"/>
        <v>0.41666666666666663</v>
      </c>
      <c r="F1431">
        <f t="shared" si="133"/>
        <v>273.66844151851848</v>
      </c>
      <c r="G1431">
        <f t="shared" si="134"/>
        <v>389.04541644685531</v>
      </c>
      <c r="I1431">
        <f t="shared" si="135"/>
        <v>5.5555555555555556E-4</v>
      </c>
      <c r="J1431">
        <f t="shared" si="136"/>
        <v>0.38009505766460899</v>
      </c>
      <c r="K1431">
        <f t="shared" si="137"/>
        <v>0.93370899947245278</v>
      </c>
    </row>
    <row r="1432" spans="1:11" x14ac:dyDescent="0.35">
      <c r="A1432" s="5" t="s">
        <v>8</v>
      </c>
      <c r="B1432" s="5">
        <v>1429</v>
      </c>
      <c r="C1432" s="5">
        <v>407</v>
      </c>
      <c r="D1432" s="16">
        <v>42.5</v>
      </c>
      <c r="E1432" s="1">
        <f t="shared" si="132"/>
        <v>1.3888888888889086E-2</v>
      </c>
      <c r="F1432">
        <f t="shared" si="133"/>
        <v>90.561331712963025</v>
      </c>
      <c r="G1432">
        <f t="shared" si="134"/>
        <v>395.56053107634807</v>
      </c>
      <c r="I1432">
        <f t="shared" si="135"/>
        <v>5.5555555555555556E-4</v>
      </c>
      <c r="J1432">
        <f t="shared" si="136"/>
        <v>0.1257796273791153</v>
      </c>
      <c r="K1432">
        <f t="shared" si="137"/>
        <v>0.94934527458323537</v>
      </c>
    </row>
    <row r="1433" spans="1:11" x14ac:dyDescent="0.35">
      <c r="A1433" s="5" t="s">
        <v>8</v>
      </c>
      <c r="B1433" s="5">
        <v>1430</v>
      </c>
      <c r="C1433" s="5">
        <v>408</v>
      </c>
      <c r="D1433" s="16">
        <v>41.9</v>
      </c>
      <c r="E1433" s="1">
        <f t="shared" si="132"/>
        <v>-0.33333333333333315</v>
      </c>
      <c r="F1433">
        <f t="shared" si="133"/>
        <v>0</v>
      </c>
      <c r="G1433">
        <f t="shared" si="134"/>
        <v>389.97614710821142</v>
      </c>
      <c r="I1433">
        <f t="shared" si="135"/>
        <v>5.5555555555555556E-4</v>
      </c>
      <c r="J1433">
        <f t="shared" si="136"/>
        <v>0</v>
      </c>
      <c r="K1433">
        <f t="shared" si="137"/>
        <v>0.93594275305970742</v>
      </c>
    </row>
    <row r="1434" spans="1:11" x14ac:dyDescent="0.35">
      <c r="A1434" s="5" t="s">
        <v>8</v>
      </c>
      <c r="B1434" s="5">
        <v>1431</v>
      </c>
      <c r="C1434" s="5">
        <v>409</v>
      </c>
      <c r="D1434" s="16">
        <v>40.1</v>
      </c>
      <c r="E1434" s="1">
        <f t="shared" si="132"/>
        <v>-0.73611111111111072</v>
      </c>
      <c r="F1434">
        <f t="shared" si="133"/>
        <v>0</v>
      </c>
      <c r="G1434">
        <f t="shared" si="134"/>
        <v>373.22299520380136</v>
      </c>
      <c r="I1434">
        <f t="shared" si="135"/>
        <v>5.5555555555555556E-4</v>
      </c>
      <c r="J1434">
        <f t="shared" si="136"/>
        <v>0</v>
      </c>
      <c r="K1434">
        <f t="shared" si="137"/>
        <v>0.89573518848912337</v>
      </c>
    </row>
    <row r="1435" spans="1:11" x14ac:dyDescent="0.35">
      <c r="A1435" s="5" t="s">
        <v>8</v>
      </c>
      <c r="B1435" s="5">
        <v>1432</v>
      </c>
      <c r="C1435" s="5">
        <v>410</v>
      </c>
      <c r="D1435" s="16">
        <v>36.6</v>
      </c>
      <c r="E1435" s="1">
        <f t="shared" si="132"/>
        <v>-1.2222222222222223</v>
      </c>
      <c r="F1435">
        <f t="shared" si="133"/>
        <v>0</v>
      </c>
      <c r="G1435">
        <f t="shared" si="134"/>
        <v>340.6474220563374</v>
      </c>
      <c r="I1435">
        <f t="shared" si="135"/>
        <v>5.5555555555555556E-4</v>
      </c>
      <c r="J1435">
        <f t="shared" si="136"/>
        <v>0</v>
      </c>
      <c r="K1435">
        <f t="shared" si="137"/>
        <v>0.8175538129352099</v>
      </c>
    </row>
    <row r="1436" spans="1:11" x14ac:dyDescent="0.35">
      <c r="A1436" s="5" t="s">
        <v>8</v>
      </c>
      <c r="B1436" s="5">
        <v>1433</v>
      </c>
      <c r="C1436" s="5">
        <v>411</v>
      </c>
      <c r="D1436" s="16">
        <v>31.3</v>
      </c>
      <c r="E1436" s="1">
        <f t="shared" si="132"/>
        <v>-1.4722222222222223</v>
      </c>
      <c r="F1436">
        <f t="shared" si="133"/>
        <v>0</v>
      </c>
      <c r="G1436">
        <f t="shared" si="134"/>
        <v>291.31869700446344</v>
      </c>
      <c r="I1436">
        <f t="shared" si="135"/>
        <v>5.5555555555555556E-4</v>
      </c>
      <c r="J1436">
        <f t="shared" si="136"/>
        <v>0</v>
      </c>
      <c r="K1436">
        <f t="shared" si="137"/>
        <v>0.69916487281071238</v>
      </c>
    </row>
    <row r="1437" spans="1:11" x14ac:dyDescent="0.35">
      <c r="A1437" s="5" t="s">
        <v>8</v>
      </c>
      <c r="B1437" s="5">
        <v>1434</v>
      </c>
      <c r="C1437" s="5">
        <v>412</v>
      </c>
      <c r="D1437" s="16">
        <v>26</v>
      </c>
      <c r="E1437" s="1">
        <f t="shared" si="132"/>
        <v>-1.4861111111111109</v>
      </c>
      <c r="F1437">
        <f t="shared" si="133"/>
        <v>0</v>
      </c>
      <c r="G1437">
        <f t="shared" si="134"/>
        <v>241.98997195258943</v>
      </c>
      <c r="I1437">
        <f t="shared" si="135"/>
        <v>5.5555555555555556E-4</v>
      </c>
      <c r="J1437">
        <f t="shared" si="136"/>
        <v>0</v>
      </c>
      <c r="K1437">
        <f t="shared" si="137"/>
        <v>0.58077593268621464</v>
      </c>
    </row>
    <row r="1438" spans="1:11" x14ac:dyDescent="0.35">
      <c r="A1438" s="5" t="s">
        <v>8</v>
      </c>
      <c r="B1438" s="5">
        <v>1435</v>
      </c>
      <c r="C1438" s="5">
        <v>413</v>
      </c>
      <c r="D1438" s="16">
        <v>20.6</v>
      </c>
      <c r="E1438" s="1">
        <f t="shared" si="132"/>
        <v>-0.95833333333333315</v>
      </c>
      <c r="F1438">
        <f t="shared" si="133"/>
        <v>0</v>
      </c>
      <c r="G1438">
        <f t="shared" si="134"/>
        <v>191.7305162393593</v>
      </c>
      <c r="I1438">
        <f t="shared" si="135"/>
        <v>5.5555555555555556E-4</v>
      </c>
      <c r="J1438">
        <f t="shared" si="136"/>
        <v>0</v>
      </c>
      <c r="K1438">
        <f t="shared" si="137"/>
        <v>0.46015323897446236</v>
      </c>
    </row>
    <row r="1439" spans="1:11" x14ac:dyDescent="0.35">
      <c r="A1439" s="5" t="s">
        <v>8</v>
      </c>
      <c r="B1439" s="5">
        <v>1436</v>
      </c>
      <c r="C1439" s="5">
        <v>414</v>
      </c>
      <c r="D1439" s="16">
        <v>19.100000000000001</v>
      </c>
      <c r="E1439" s="1">
        <f t="shared" si="132"/>
        <v>-0.12500000000000031</v>
      </c>
      <c r="F1439">
        <f t="shared" si="133"/>
        <v>13.559677046296159</v>
      </c>
      <c r="G1439">
        <f t="shared" si="134"/>
        <v>177.76955631901762</v>
      </c>
      <c r="I1439">
        <f t="shared" si="135"/>
        <v>5.5555555555555556E-4</v>
      </c>
      <c r="J1439">
        <f t="shared" si="136"/>
        <v>1.8832884786522442E-2</v>
      </c>
      <c r="K1439">
        <f t="shared" si="137"/>
        <v>0.42664693516564234</v>
      </c>
    </row>
    <row r="1440" spans="1:11" x14ac:dyDescent="0.35">
      <c r="A1440" s="5" t="s">
        <v>8</v>
      </c>
      <c r="B1440" s="5">
        <v>1437</v>
      </c>
      <c r="C1440" s="5">
        <v>415</v>
      </c>
      <c r="D1440" s="16">
        <v>19.7</v>
      </c>
      <c r="E1440" s="1">
        <f t="shared" si="132"/>
        <v>0.27777777777777779</v>
      </c>
      <c r="F1440">
        <f t="shared" si="133"/>
        <v>197.44709415740738</v>
      </c>
      <c r="G1440">
        <f t="shared" si="134"/>
        <v>183.3539402871543</v>
      </c>
      <c r="I1440">
        <f t="shared" si="135"/>
        <v>5.5555555555555556E-4</v>
      </c>
      <c r="J1440">
        <f t="shared" si="136"/>
        <v>0.27423207521862136</v>
      </c>
      <c r="K1440">
        <f t="shared" si="137"/>
        <v>0.44004945668917034</v>
      </c>
    </row>
    <row r="1441" spans="1:11" x14ac:dyDescent="0.35">
      <c r="A1441" s="5" t="s">
        <v>8</v>
      </c>
      <c r="B1441" s="5">
        <v>1438</v>
      </c>
      <c r="C1441" s="5">
        <v>416</v>
      </c>
      <c r="D1441" s="16">
        <v>21.1</v>
      </c>
      <c r="E1441" s="1">
        <f t="shared" si="132"/>
        <v>0.31944444444444453</v>
      </c>
      <c r="F1441">
        <f t="shared" si="133"/>
        <v>216.98872926851854</v>
      </c>
      <c r="G1441">
        <f t="shared" si="134"/>
        <v>196.38416954613987</v>
      </c>
      <c r="I1441">
        <f t="shared" si="135"/>
        <v>5.5555555555555556E-4</v>
      </c>
      <c r="J1441">
        <f t="shared" si="136"/>
        <v>0.30137323509516462</v>
      </c>
      <c r="K1441">
        <f t="shared" si="137"/>
        <v>0.47132200691073572</v>
      </c>
    </row>
    <row r="1442" spans="1:11" x14ac:dyDescent="0.35">
      <c r="A1442" s="5" t="s">
        <v>8</v>
      </c>
      <c r="B1442" s="5">
        <v>1439</v>
      </c>
      <c r="C1442" s="5">
        <v>417</v>
      </c>
      <c r="D1442" s="16">
        <v>22</v>
      </c>
      <c r="E1442" s="1">
        <f t="shared" si="132"/>
        <v>0.1388888888888889</v>
      </c>
      <c r="F1442">
        <f t="shared" si="133"/>
        <v>135.02321851851852</v>
      </c>
      <c r="G1442">
        <f t="shared" si="134"/>
        <v>204.7607454983449</v>
      </c>
      <c r="I1442">
        <f t="shared" si="135"/>
        <v>5.5555555555555556E-4</v>
      </c>
      <c r="J1442">
        <f t="shared" si="136"/>
        <v>0.18753224794238682</v>
      </c>
      <c r="K1442">
        <f t="shared" si="137"/>
        <v>0.49142578919602775</v>
      </c>
    </row>
    <row r="1443" spans="1:11" x14ac:dyDescent="0.35">
      <c r="A1443" s="5" t="s">
        <v>8</v>
      </c>
      <c r="B1443" s="5">
        <v>1440</v>
      </c>
      <c r="C1443" s="5">
        <v>418</v>
      </c>
      <c r="D1443" s="16">
        <v>22.1</v>
      </c>
      <c r="E1443" s="1">
        <f t="shared" si="132"/>
        <v>-8.3333333333333523E-2</v>
      </c>
      <c r="F1443">
        <f t="shared" si="133"/>
        <v>33.731702601851765</v>
      </c>
      <c r="G1443">
        <f t="shared" si="134"/>
        <v>205.69147615970101</v>
      </c>
      <c r="I1443">
        <f t="shared" si="135"/>
        <v>5.5555555555555556E-4</v>
      </c>
      <c r="J1443">
        <f t="shared" si="136"/>
        <v>4.6849586947016339E-2</v>
      </c>
      <c r="K1443">
        <f t="shared" si="137"/>
        <v>0.49365954278328239</v>
      </c>
    </row>
    <row r="1444" spans="1:11" x14ac:dyDescent="0.35">
      <c r="A1444" s="5" t="s">
        <v>8</v>
      </c>
      <c r="B1444" s="5">
        <v>1441</v>
      </c>
      <c r="C1444" s="5">
        <v>419</v>
      </c>
      <c r="D1444" s="16">
        <v>21.4</v>
      </c>
      <c r="E1444" s="1">
        <f t="shared" si="132"/>
        <v>-0.34722222222222221</v>
      </c>
      <c r="F1444">
        <f t="shared" si="133"/>
        <v>0</v>
      </c>
      <c r="G1444">
        <f t="shared" si="134"/>
        <v>199.17636153020823</v>
      </c>
      <c r="I1444">
        <f t="shared" si="135"/>
        <v>5.5555555555555556E-4</v>
      </c>
      <c r="J1444">
        <f t="shared" si="136"/>
        <v>0</v>
      </c>
      <c r="K1444">
        <f t="shared" si="137"/>
        <v>0.47802326767249975</v>
      </c>
    </row>
    <row r="1445" spans="1:11" x14ac:dyDescent="0.35">
      <c r="A1445" s="5" t="s">
        <v>8</v>
      </c>
      <c r="B1445" s="5">
        <v>1442</v>
      </c>
      <c r="C1445" s="5">
        <v>420</v>
      </c>
      <c r="D1445" s="16">
        <v>19.600000000000001</v>
      </c>
      <c r="E1445" s="1">
        <f t="shared" si="132"/>
        <v>-0.43055555555555525</v>
      </c>
      <c r="F1445">
        <f t="shared" si="133"/>
        <v>0</v>
      </c>
      <c r="G1445">
        <f t="shared" si="134"/>
        <v>182.42320962579819</v>
      </c>
      <c r="I1445">
        <f t="shared" si="135"/>
        <v>5.5555555555555556E-4</v>
      </c>
      <c r="J1445">
        <f t="shared" si="136"/>
        <v>0</v>
      </c>
      <c r="K1445">
        <f t="shared" si="137"/>
        <v>0.4378157031019157</v>
      </c>
    </row>
    <row r="1446" spans="1:11" x14ac:dyDescent="0.35">
      <c r="A1446" s="5" t="s">
        <v>8</v>
      </c>
      <c r="B1446" s="5">
        <v>1443</v>
      </c>
      <c r="C1446" s="5">
        <v>421</v>
      </c>
      <c r="D1446" s="16">
        <v>18.3</v>
      </c>
      <c r="E1446" s="1">
        <f t="shared" si="132"/>
        <v>-0.2222222222222224</v>
      </c>
      <c r="F1446">
        <f t="shared" si="133"/>
        <v>0</v>
      </c>
      <c r="G1446">
        <f t="shared" si="134"/>
        <v>170.3237110281687</v>
      </c>
      <c r="I1446">
        <f t="shared" si="135"/>
        <v>5.5555555555555556E-4</v>
      </c>
      <c r="J1446">
        <f t="shared" si="136"/>
        <v>0</v>
      </c>
      <c r="K1446">
        <f t="shared" si="137"/>
        <v>0.40877690646760495</v>
      </c>
    </row>
    <row r="1447" spans="1:11" x14ac:dyDescent="0.35">
      <c r="A1447" s="5" t="s">
        <v>8</v>
      </c>
      <c r="B1447" s="5">
        <v>1444</v>
      </c>
      <c r="C1447" s="5">
        <v>422</v>
      </c>
      <c r="D1447" s="16">
        <v>18</v>
      </c>
      <c r="E1447" s="1">
        <f t="shared" si="132"/>
        <v>0</v>
      </c>
      <c r="F1447">
        <f t="shared" si="133"/>
        <v>70.172699999999992</v>
      </c>
      <c r="G1447">
        <f t="shared" si="134"/>
        <v>167.53151904410038</v>
      </c>
      <c r="I1447">
        <f t="shared" si="135"/>
        <v>5.5555555555555556E-4</v>
      </c>
      <c r="J1447">
        <f t="shared" si="136"/>
        <v>9.7462083333333324E-2</v>
      </c>
      <c r="K1447">
        <f t="shared" si="137"/>
        <v>0.40207564570584092</v>
      </c>
    </row>
    <row r="1448" spans="1:11" x14ac:dyDescent="0.35">
      <c r="A1448" s="5" t="s">
        <v>8</v>
      </c>
      <c r="B1448" s="5">
        <v>1445</v>
      </c>
      <c r="C1448" s="5">
        <v>423</v>
      </c>
      <c r="D1448" s="16">
        <v>18.3</v>
      </c>
      <c r="E1448" s="1">
        <f t="shared" si="132"/>
        <v>6.9444444444444448E-2</v>
      </c>
      <c r="F1448">
        <f t="shared" si="133"/>
        <v>101.94263008333333</v>
      </c>
      <c r="G1448">
        <f t="shared" si="134"/>
        <v>170.3237110281687</v>
      </c>
      <c r="I1448">
        <f t="shared" si="135"/>
        <v>5.5555555555555556E-4</v>
      </c>
      <c r="J1448">
        <f t="shared" si="136"/>
        <v>0.14158698622685184</v>
      </c>
      <c r="K1448">
        <f t="shared" si="137"/>
        <v>0.40877690646760495</v>
      </c>
    </row>
    <row r="1449" spans="1:11" x14ac:dyDescent="0.35">
      <c r="A1449" s="5" t="s">
        <v>8</v>
      </c>
      <c r="B1449" s="5">
        <v>1446</v>
      </c>
      <c r="C1449" s="5">
        <v>424</v>
      </c>
      <c r="D1449" s="16">
        <v>18.5</v>
      </c>
      <c r="E1449" s="1">
        <f t="shared" si="132"/>
        <v>-5.5555555555555851E-2</v>
      </c>
      <c r="F1449">
        <f t="shared" si="133"/>
        <v>45.012420601851709</v>
      </c>
      <c r="G1449">
        <f t="shared" si="134"/>
        <v>172.18517235088095</v>
      </c>
      <c r="I1449">
        <f t="shared" si="135"/>
        <v>5.5555555555555556E-4</v>
      </c>
      <c r="J1449">
        <f t="shared" si="136"/>
        <v>6.2517250835905147E-2</v>
      </c>
      <c r="K1449">
        <f t="shared" si="137"/>
        <v>0.41324441364211428</v>
      </c>
    </row>
    <row r="1450" spans="1:11" x14ac:dyDescent="0.35">
      <c r="A1450" s="5" t="s">
        <v>8</v>
      </c>
      <c r="B1450" s="5">
        <v>1447</v>
      </c>
      <c r="C1450" s="5">
        <v>425</v>
      </c>
      <c r="D1450" s="16">
        <v>17.899999999999999</v>
      </c>
      <c r="E1450" s="1">
        <f t="shared" si="132"/>
        <v>-0.4861111111111111</v>
      </c>
      <c r="F1450">
        <f t="shared" si="133"/>
        <v>0</v>
      </c>
      <c r="G1450">
        <f t="shared" si="134"/>
        <v>166.60078838274427</v>
      </c>
      <c r="I1450">
        <f t="shared" si="135"/>
        <v>5.5555555555555556E-4</v>
      </c>
      <c r="J1450">
        <f t="shared" si="136"/>
        <v>0</v>
      </c>
      <c r="K1450">
        <f t="shared" si="137"/>
        <v>0.39984189211858628</v>
      </c>
    </row>
    <row r="1451" spans="1:11" x14ac:dyDescent="0.35">
      <c r="A1451" s="5" t="s">
        <v>8</v>
      </c>
      <c r="B1451" s="5">
        <v>1448</v>
      </c>
      <c r="C1451" s="5">
        <v>426</v>
      </c>
      <c r="D1451" s="16">
        <v>15</v>
      </c>
      <c r="E1451" s="1">
        <f t="shared" si="132"/>
        <v>-1.1111111111111109</v>
      </c>
      <c r="F1451">
        <f t="shared" si="133"/>
        <v>0</v>
      </c>
      <c r="G1451">
        <f t="shared" si="134"/>
        <v>139.60959920341696</v>
      </c>
      <c r="I1451">
        <f t="shared" si="135"/>
        <v>5.5555555555555556E-4</v>
      </c>
      <c r="J1451">
        <f t="shared" si="136"/>
        <v>0</v>
      </c>
      <c r="K1451">
        <f t="shared" si="137"/>
        <v>0.3350630380882007</v>
      </c>
    </row>
    <row r="1452" spans="1:11" x14ac:dyDescent="0.35">
      <c r="A1452" s="5" t="s">
        <v>8</v>
      </c>
      <c r="B1452" s="5">
        <v>1449</v>
      </c>
      <c r="C1452" s="5">
        <v>427</v>
      </c>
      <c r="D1452" s="16">
        <v>9.9</v>
      </c>
      <c r="E1452" s="1">
        <f t="shared" si="132"/>
        <v>-1.4444444444444444</v>
      </c>
      <c r="F1452">
        <f t="shared" si="133"/>
        <v>0</v>
      </c>
      <c r="G1452">
        <f t="shared" si="134"/>
        <v>92.142335474255205</v>
      </c>
      <c r="I1452">
        <f t="shared" si="135"/>
        <v>5.5555555555555556E-4</v>
      </c>
      <c r="J1452">
        <f t="shared" si="136"/>
        <v>0</v>
      </c>
      <c r="K1452">
        <f t="shared" si="137"/>
        <v>0.22114160513821249</v>
      </c>
    </row>
    <row r="1453" spans="1:11" x14ac:dyDescent="0.35">
      <c r="A1453" s="5" t="s">
        <v>8</v>
      </c>
      <c r="B1453" s="5">
        <v>1450</v>
      </c>
      <c r="C1453" s="5">
        <v>428</v>
      </c>
      <c r="D1453" s="16">
        <v>4.5999999999999996</v>
      </c>
      <c r="E1453" s="1">
        <f t="shared" si="132"/>
        <v>-1.2083333333333335</v>
      </c>
      <c r="F1453">
        <f t="shared" si="133"/>
        <v>0</v>
      </c>
      <c r="G1453">
        <f t="shared" si="134"/>
        <v>42.813610422381203</v>
      </c>
      <c r="I1453">
        <f t="shared" si="135"/>
        <v>5.5555555555555556E-4</v>
      </c>
      <c r="J1453">
        <f t="shared" si="136"/>
        <v>0</v>
      </c>
      <c r="K1453">
        <f t="shared" si="137"/>
        <v>0.1027526650137149</v>
      </c>
    </row>
    <row r="1454" spans="1:11" x14ac:dyDescent="0.35">
      <c r="A1454" s="5" t="s">
        <v>8</v>
      </c>
      <c r="B1454" s="5">
        <v>1451</v>
      </c>
      <c r="C1454" s="5">
        <v>429</v>
      </c>
      <c r="D1454" s="16">
        <v>1.2</v>
      </c>
      <c r="E1454" s="1">
        <f t="shared" si="132"/>
        <v>-0.63888888888888884</v>
      </c>
      <c r="F1454">
        <f t="shared" si="133"/>
        <v>0</v>
      </c>
      <c r="G1454">
        <f t="shared" si="134"/>
        <v>11.168767936273358</v>
      </c>
      <c r="I1454">
        <f t="shared" si="135"/>
        <v>5.5555555555555556E-4</v>
      </c>
      <c r="J1454">
        <f t="shared" si="136"/>
        <v>0</v>
      </c>
      <c r="K1454">
        <f t="shared" si="137"/>
        <v>2.6805043047056061E-2</v>
      </c>
    </row>
    <row r="1455" spans="1:11" x14ac:dyDescent="0.35">
      <c r="A1455" s="5" t="s">
        <v>8</v>
      </c>
      <c r="B1455" s="5">
        <v>1452</v>
      </c>
      <c r="C1455" s="5">
        <v>430</v>
      </c>
      <c r="D1455" s="16">
        <v>0</v>
      </c>
      <c r="E1455" s="1">
        <f t="shared" si="132"/>
        <v>-0.16666666666666666</v>
      </c>
      <c r="F1455">
        <f t="shared" si="133"/>
        <v>0</v>
      </c>
      <c r="G1455">
        <f t="shared" si="134"/>
        <v>0</v>
      </c>
      <c r="I1455">
        <f t="shared" si="135"/>
        <v>5.5555555555555556E-4</v>
      </c>
      <c r="J1455">
        <f t="shared" si="136"/>
        <v>0</v>
      </c>
      <c r="K1455">
        <f t="shared" si="137"/>
        <v>0</v>
      </c>
    </row>
    <row r="1456" spans="1:11" x14ac:dyDescent="0.35">
      <c r="A1456" s="5" t="s">
        <v>8</v>
      </c>
      <c r="B1456" s="5">
        <v>1453</v>
      </c>
      <c r="C1456" s="5">
        <v>431</v>
      </c>
      <c r="D1456" s="16">
        <v>0</v>
      </c>
      <c r="E1456" s="1">
        <f t="shared" si="132"/>
        <v>0</v>
      </c>
      <c r="F1456">
        <f t="shared" si="133"/>
        <v>0</v>
      </c>
      <c r="G1456">
        <f t="shared" si="134"/>
        <v>0</v>
      </c>
      <c r="I1456">
        <f t="shared" si="135"/>
        <v>5.5555555555555556E-4</v>
      </c>
      <c r="J1456">
        <f t="shared" si="136"/>
        <v>0</v>
      </c>
      <c r="K1456">
        <f t="shared" si="137"/>
        <v>0</v>
      </c>
    </row>
    <row r="1457" spans="1:11" x14ac:dyDescent="0.35">
      <c r="A1457" s="5" t="s">
        <v>8</v>
      </c>
      <c r="B1457" s="5">
        <v>1454</v>
      </c>
      <c r="C1457" s="5">
        <v>432</v>
      </c>
      <c r="D1457" s="16">
        <v>0</v>
      </c>
      <c r="E1457" s="1">
        <f t="shared" si="132"/>
        <v>0</v>
      </c>
      <c r="F1457">
        <f t="shared" si="133"/>
        <v>0</v>
      </c>
      <c r="G1457">
        <f t="shared" si="134"/>
        <v>0</v>
      </c>
      <c r="I1457">
        <f t="shared" si="135"/>
        <v>5.5555555555555556E-4</v>
      </c>
      <c r="J1457">
        <f t="shared" si="136"/>
        <v>0</v>
      </c>
      <c r="K1457">
        <f t="shared" si="137"/>
        <v>0</v>
      </c>
    </row>
    <row r="1458" spans="1:11" x14ac:dyDescent="0.35">
      <c r="A1458" s="5" t="s">
        <v>8</v>
      </c>
      <c r="B1458" s="5">
        <v>1455</v>
      </c>
      <c r="C1458" s="5">
        <v>433</v>
      </c>
      <c r="D1458" s="16">
        <v>0</v>
      </c>
      <c r="E1458" s="1">
        <f t="shared" si="132"/>
        <v>0</v>
      </c>
      <c r="F1458">
        <f t="shared" si="133"/>
        <v>0</v>
      </c>
      <c r="G1458">
        <f t="shared" si="134"/>
        <v>0</v>
      </c>
      <c r="I1458">
        <f t="shared" si="135"/>
        <v>5.5555555555555556E-4</v>
      </c>
      <c r="J1458">
        <f t="shared" si="136"/>
        <v>0</v>
      </c>
      <c r="K1458">
        <f t="shared" si="137"/>
        <v>0</v>
      </c>
    </row>
    <row r="1459" spans="1:11" x14ac:dyDescent="0.35">
      <c r="A1459" s="5" t="s">
        <v>8</v>
      </c>
      <c r="B1459" s="5">
        <v>1456</v>
      </c>
      <c r="C1459" s="5">
        <v>434</v>
      </c>
      <c r="D1459" s="16">
        <v>0</v>
      </c>
      <c r="E1459" s="1">
        <f t="shared" si="132"/>
        <v>0</v>
      </c>
      <c r="F1459">
        <f t="shared" si="133"/>
        <v>0</v>
      </c>
      <c r="G1459">
        <f t="shared" si="134"/>
        <v>0</v>
      </c>
      <c r="I1459">
        <f t="shared" si="135"/>
        <v>5.5555555555555556E-4</v>
      </c>
      <c r="J1459">
        <f t="shared" si="136"/>
        <v>0</v>
      </c>
      <c r="K1459">
        <f t="shared" si="137"/>
        <v>0</v>
      </c>
    </row>
    <row r="1460" spans="1:11" x14ac:dyDescent="0.35">
      <c r="A1460" s="5" t="s">
        <v>8</v>
      </c>
      <c r="B1460" s="5">
        <v>1457</v>
      </c>
      <c r="C1460" s="5">
        <v>435</v>
      </c>
      <c r="D1460" s="16">
        <v>0</v>
      </c>
      <c r="E1460" s="1">
        <f t="shared" si="132"/>
        <v>0</v>
      </c>
      <c r="F1460">
        <f t="shared" si="133"/>
        <v>0</v>
      </c>
      <c r="G1460">
        <f t="shared" si="134"/>
        <v>0</v>
      </c>
      <c r="I1460">
        <f t="shared" si="135"/>
        <v>5.5555555555555556E-4</v>
      </c>
      <c r="J1460">
        <f t="shared" si="136"/>
        <v>0</v>
      </c>
      <c r="K1460">
        <f t="shared" si="137"/>
        <v>0</v>
      </c>
    </row>
    <row r="1461" spans="1:11" x14ac:dyDescent="0.35">
      <c r="A1461" s="5" t="s">
        <v>8</v>
      </c>
      <c r="B1461" s="5">
        <v>1458</v>
      </c>
      <c r="C1461" s="5">
        <v>436</v>
      </c>
      <c r="D1461" s="16">
        <v>0</v>
      </c>
      <c r="E1461" s="1">
        <f t="shared" si="132"/>
        <v>0</v>
      </c>
      <c r="F1461">
        <f t="shared" si="133"/>
        <v>0</v>
      </c>
      <c r="G1461">
        <f t="shared" si="134"/>
        <v>0</v>
      </c>
      <c r="I1461">
        <f t="shared" si="135"/>
        <v>5.5555555555555556E-4</v>
      </c>
      <c r="J1461">
        <f t="shared" si="136"/>
        <v>0</v>
      </c>
      <c r="K1461">
        <f t="shared" si="137"/>
        <v>0</v>
      </c>
    </row>
    <row r="1462" spans="1:11" x14ac:dyDescent="0.35">
      <c r="A1462" s="5" t="s">
        <v>8</v>
      </c>
      <c r="B1462" s="5">
        <v>1459</v>
      </c>
      <c r="C1462" s="5">
        <v>437</v>
      </c>
      <c r="D1462" s="16">
        <v>0</v>
      </c>
      <c r="E1462" s="1">
        <f t="shared" si="132"/>
        <v>0</v>
      </c>
      <c r="F1462">
        <f t="shared" si="133"/>
        <v>0</v>
      </c>
      <c r="G1462">
        <f t="shared" si="134"/>
        <v>0</v>
      </c>
      <c r="I1462">
        <f t="shared" si="135"/>
        <v>5.5555555555555556E-4</v>
      </c>
      <c r="J1462">
        <f t="shared" si="136"/>
        <v>0</v>
      </c>
      <c r="K1462">
        <f t="shared" si="137"/>
        <v>0</v>
      </c>
    </row>
    <row r="1463" spans="1:11" x14ac:dyDescent="0.35">
      <c r="A1463" s="5" t="s">
        <v>8</v>
      </c>
      <c r="B1463" s="5">
        <v>1460</v>
      </c>
      <c r="C1463" s="5">
        <v>438</v>
      </c>
      <c r="D1463" s="16">
        <v>0</v>
      </c>
      <c r="E1463" s="1">
        <f t="shared" si="132"/>
        <v>0</v>
      </c>
      <c r="F1463">
        <f t="shared" si="133"/>
        <v>0</v>
      </c>
      <c r="G1463">
        <f t="shared" si="134"/>
        <v>0</v>
      </c>
      <c r="I1463">
        <f t="shared" si="135"/>
        <v>5.5555555555555556E-4</v>
      </c>
      <c r="J1463">
        <f t="shared" si="136"/>
        <v>0</v>
      </c>
      <c r="K1463">
        <f t="shared" si="137"/>
        <v>0</v>
      </c>
    </row>
    <row r="1464" spans="1:11" x14ac:dyDescent="0.35">
      <c r="A1464" s="5" t="s">
        <v>8</v>
      </c>
      <c r="B1464" s="5">
        <v>1461</v>
      </c>
      <c r="C1464" s="5">
        <v>439</v>
      </c>
      <c r="D1464" s="16">
        <v>0</v>
      </c>
      <c r="E1464" s="1">
        <f t="shared" si="132"/>
        <v>0</v>
      </c>
      <c r="F1464">
        <f t="shared" si="133"/>
        <v>0</v>
      </c>
      <c r="G1464">
        <f t="shared" si="134"/>
        <v>0</v>
      </c>
      <c r="I1464">
        <f t="shared" si="135"/>
        <v>5.5555555555555556E-4</v>
      </c>
      <c r="J1464">
        <f t="shared" si="136"/>
        <v>0</v>
      </c>
      <c r="K1464">
        <f t="shared" si="137"/>
        <v>0</v>
      </c>
    </row>
    <row r="1465" spans="1:11" x14ac:dyDescent="0.35">
      <c r="A1465" s="5" t="s">
        <v>8</v>
      </c>
      <c r="B1465" s="5">
        <v>1462</v>
      </c>
      <c r="C1465" s="5">
        <v>440</v>
      </c>
      <c r="D1465" s="16">
        <v>0</v>
      </c>
      <c r="E1465" s="1">
        <f t="shared" si="132"/>
        <v>0</v>
      </c>
      <c r="F1465">
        <f t="shared" si="133"/>
        <v>0</v>
      </c>
      <c r="G1465">
        <f t="shared" si="134"/>
        <v>0</v>
      </c>
      <c r="I1465">
        <f t="shared" si="135"/>
        <v>5.5555555555555556E-4</v>
      </c>
      <c r="J1465">
        <f t="shared" si="136"/>
        <v>0</v>
      </c>
      <c r="K1465">
        <f t="shared" si="137"/>
        <v>0</v>
      </c>
    </row>
    <row r="1466" spans="1:11" x14ac:dyDescent="0.35">
      <c r="A1466" s="5" t="s">
        <v>8</v>
      </c>
      <c r="B1466" s="5">
        <v>1463</v>
      </c>
      <c r="C1466" s="5">
        <v>441</v>
      </c>
      <c r="D1466" s="16">
        <v>0</v>
      </c>
      <c r="E1466" s="1">
        <f t="shared" si="132"/>
        <v>0</v>
      </c>
      <c r="F1466">
        <f t="shared" si="133"/>
        <v>0</v>
      </c>
      <c r="G1466">
        <f t="shared" si="134"/>
        <v>0</v>
      </c>
      <c r="I1466">
        <f t="shared" si="135"/>
        <v>5.5555555555555556E-4</v>
      </c>
      <c r="J1466">
        <f t="shared" si="136"/>
        <v>0</v>
      </c>
      <c r="K1466">
        <f t="shared" si="137"/>
        <v>0</v>
      </c>
    </row>
    <row r="1467" spans="1:11" x14ac:dyDescent="0.35">
      <c r="A1467" s="5" t="s">
        <v>8</v>
      </c>
      <c r="B1467" s="5">
        <v>1464</v>
      </c>
      <c r="C1467" s="5">
        <v>442</v>
      </c>
      <c r="D1467" s="16">
        <v>0</v>
      </c>
      <c r="E1467" s="1">
        <f t="shared" si="132"/>
        <v>0</v>
      </c>
      <c r="F1467">
        <f t="shared" si="133"/>
        <v>0</v>
      </c>
      <c r="G1467">
        <f t="shared" si="134"/>
        <v>0</v>
      </c>
      <c r="I1467">
        <f t="shared" si="135"/>
        <v>5.5555555555555556E-4</v>
      </c>
      <c r="J1467">
        <f t="shared" si="136"/>
        <v>0</v>
      </c>
      <c r="K1467">
        <f t="shared" si="137"/>
        <v>0</v>
      </c>
    </row>
    <row r="1468" spans="1:11" x14ac:dyDescent="0.35">
      <c r="A1468" s="5" t="s">
        <v>8</v>
      </c>
      <c r="B1468" s="5">
        <v>1465</v>
      </c>
      <c r="C1468" s="5">
        <v>443</v>
      </c>
      <c r="D1468" s="16">
        <v>0</v>
      </c>
      <c r="E1468" s="1">
        <f t="shared" si="132"/>
        <v>0</v>
      </c>
      <c r="F1468">
        <f t="shared" si="133"/>
        <v>0</v>
      </c>
      <c r="G1468">
        <f t="shared" si="134"/>
        <v>0</v>
      </c>
      <c r="I1468">
        <f t="shared" si="135"/>
        <v>5.5555555555555556E-4</v>
      </c>
      <c r="J1468">
        <f t="shared" si="136"/>
        <v>0</v>
      </c>
      <c r="K1468">
        <f t="shared" si="137"/>
        <v>0</v>
      </c>
    </row>
    <row r="1469" spans="1:11" x14ac:dyDescent="0.35">
      <c r="A1469" s="5" t="s">
        <v>8</v>
      </c>
      <c r="B1469" s="5">
        <v>1466</v>
      </c>
      <c r="C1469" s="5">
        <v>444</v>
      </c>
      <c r="D1469" s="16">
        <v>0</v>
      </c>
      <c r="E1469" s="1">
        <f t="shared" si="132"/>
        <v>0</v>
      </c>
      <c r="F1469">
        <f t="shared" si="133"/>
        <v>0</v>
      </c>
      <c r="G1469">
        <f t="shared" si="134"/>
        <v>0</v>
      </c>
      <c r="I1469">
        <f t="shared" si="135"/>
        <v>5.5555555555555556E-4</v>
      </c>
      <c r="J1469">
        <f t="shared" si="136"/>
        <v>0</v>
      </c>
      <c r="K1469">
        <f t="shared" si="137"/>
        <v>0</v>
      </c>
    </row>
    <row r="1470" spans="1:11" x14ac:dyDescent="0.35">
      <c r="A1470" s="5" t="s">
        <v>8</v>
      </c>
      <c r="B1470" s="5">
        <v>1467</v>
      </c>
      <c r="C1470" s="5">
        <v>445</v>
      </c>
      <c r="D1470" s="16">
        <v>0</v>
      </c>
      <c r="E1470" s="1">
        <f t="shared" si="132"/>
        <v>0</v>
      </c>
      <c r="F1470">
        <f t="shared" si="133"/>
        <v>0</v>
      </c>
      <c r="G1470">
        <f t="shared" si="134"/>
        <v>0</v>
      </c>
      <c r="I1470">
        <f t="shared" si="135"/>
        <v>5.5555555555555556E-4</v>
      </c>
      <c r="J1470">
        <f t="shared" si="136"/>
        <v>0</v>
      </c>
      <c r="K1470">
        <f t="shared" si="137"/>
        <v>0</v>
      </c>
    </row>
    <row r="1471" spans="1:11" x14ac:dyDescent="0.35">
      <c r="A1471" s="5" t="s">
        <v>8</v>
      </c>
      <c r="B1471" s="5">
        <v>1468</v>
      </c>
      <c r="C1471" s="5">
        <v>446</v>
      </c>
      <c r="D1471" s="16">
        <v>0</v>
      </c>
      <c r="E1471" s="1">
        <f t="shared" si="132"/>
        <v>0</v>
      </c>
      <c r="F1471">
        <f t="shared" si="133"/>
        <v>0</v>
      </c>
      <c r="G1471">
        <f t="shared" si="134"/>
        <v>0</v>
      </c>
      <c r="I1471">
        <f t="shared" si="135"/>
        <v>5.5555555555555556E-4</v>
      </c>
      <c r="J1471">
        <f t="shared" si="136"/>
        <v>0</v>
      </c>
      <c r="K1471">
        <f t="shared" si="137"/>
        <v>0</v>
      </c>
    </row>
    <row r="1472" spans="1:11" x14ac:dyDescent="0.35">
      <c r="A1472" s="5" t="s">
        <v>8</v>
      </c>
      <c r="B1472" s="5">
        <v>1469</v>
      </c>
      <c r="C1472" s="5">
        <v>447</v>
      </c>
      <c r="D1472" s="16">
        <v>0</v>
      </c>
      <c r="E1472" s="1">
        <f t="shared" si="132"/>
        <v>0</v>
      </c>
      <c r="F1472">
        <f t="shared" si="133"/>
        <v>0</v>
      </c>
      <c r="G1472">
        <f t="shared" si="134"/>
        <v>0</v>
      </c>
      <c r="I1472">
        <f t="shared" si="135"/>
        <v>5.5555555555555556E-4</v>
      </c>
      <c r="J1472">
        <f t="shared" si="136"/>
        <v>0</v>
      </c>
      <c r="K1472">
        <f t="shared" si="137"/>
        <v>0</v>
      </c>
    </row>
    <row r="1473" spans="1:11" x14ac:dyDescent="0.35">
      <c r="A1473" s="5" t="s">
        <v>8</v>
      </c>
      <c r="B1473" s="5">
        <v>1470</v>
      </c>
      <c r="C1473" s="5">
        <v>448</v>
      </c>
      <c r="D1473" s="16">
        <v>0</v>
      </c>
      <c r="E1473" s="1">
        <f t="shared" si="132"/>
        <v>0</v>
      </c>
      <c r="F1473">
        <f t="shared" si="133"/>
        <v>0</v>
      </c>
      <c r="G1473">
        <f t="shared" si="134"/>
        <v>0</v>
      </c>
      <c r="I1473">
        <f t="shared" si="135"/>
        <v>5.5555555555555556E-4</v>
      </c>
      <c r="J1473">
        <f t="shared" si="136"/>
        <v>0</v>
      </c>
      <c r="K1473">
        <f t="shared" si="137"/>
        <v>0</v>
      </c>
    </row>
    <row r="1474" spans="1:11" x14ac:dyDescent="0.35">
      <c r="A1474" s="5" t="s">
        <v>8</v>
      </c>
      <c r="B1474" s="5">
        <v>1471</v>
      </c>
      <c r="C1474" s="5">
        <v>449</v>
      </c>
      <c r="D1474" s="16">
        <v>0</v>
      </c>
      <c r="E1474" s="1">
        <f t="shared" si="132"/>
        <v>0</v>
      </c>
      <c r="F1474">
        <f t="shared" si="133"/>
        <v>0</v>
      </c>
      <c r="G1474">
        <f t="shared" si="134"/>
        <v>0</v>
      </c>
      <c r="I1474">
        <f t="shared" si="135"/>
        <v>5.5555555555555556E-4</v>
      </c>
      <c r="J1474">
        <f t="shared" si="136"/>
        <v>0</v>
      </c>
      <c r="K1474">
        <f t="shared" si="137"/>
        <v>0</v>
      </c>
    </row>
    <row r="1475" spans="1:11" x14ac:dyDescent="0.35">
      <c r="A1475" s="5" t="s">
        <v>8</v>
      </c>
      <c r="B1475" s="5">
        <v>1472</v>
      </c>
      <c r="C1475" s="5">
        <v>450</v>
      </c>
      <c r="D1475" s="16">
        <v>0</v>
      </c>
      <c r="E1475" s="1">
        <f t="shared" si="132"/>
        <v>0</v>
      </c>
      <c r="F1475">
        <f t="shared" si="133"/>
        <v>0</v>
      </c>
      <c r="G1475">
        <f t="shared" si="134"/>
        <v>0</v>
      </c>
      <c r="I1475">
        <f t="shared" si="135"/>
        <v>5.5555555555555556E-4</v>
      </c>
      <c r="J1475">
        <f t="shared" si="136"/>
        <v>0</v>
      </c>
      <c r="K1475">
        <f t="shared" si="137"/>
        <v>0</v>
      </c>
    </row>
    <row r="1476" spans="1:11" x14ac:dyDescent="0.35">
      <c r="A1476" s="5" t="s">
        <v>8</v>
      </c>
      <c r="B1476" s="5">
        <v>1473</v>
      </c>
      <c r="C1476" s="5">
        <v>451</v>
      </c>
      <c r="D1476" s="16">
        <v>0</v>
      </c>
      <c r="E1476" s="1">
        <f t="shared" si="132"/>
        <v>0</v>
      </c>
      <c r="F1476">
        <f t="shared" si="133"/>
        <v>0</v>
      </c>
      <c r="G1476">
        <f t="shared" si="134"/>
        <v>0</v>
      </c>
      <c r="I1476">
        <f t="shared" si="135"/>
        <v>5.5555555555555556E-4</v>
      </c>
      <c r="J1476">
        <f t="shared" si="136"/>
        <v>0</v>
      </c>
      <c r="K1476">
        <f t="shared" si="137"/>
        <v>0</v>
      </c>
    </row>
    <row r="1477" spans="1:11" x14ac:dyDescent="0.35">
      <c r="A1477" s="5" t="s">
        <v>8</v>
      </c>
      <c r="B1477" s="5">
        <v>1474</v>
      </c>
      <c r="C1477" s="5">
        <v>452</v>
      </c>
      <c r="D1477" s="16">
        <v>0</v>
      </c>
      <c r="E1477" s="1">
        <f t="shared" ref="E1477:E1540" si="138">($D1478-$D1476)/2/3.6</f>
        <v>0</v>
      </c>
      <c r="F1477">
        <f t="shared" ref="F1477:F1540" si="139">IF(D1477=0,0,MAX(0,0.285*(1600*E1477 + 1600*9.81*0.015 + 0.5*1.225*0.32*2.2*(D1477/3.6)^2)))</f>
        <v>0</v>
      </c>
      <c r="G1477">
        <f t="shared" ref="G1477:G1540" si="140">60*D1477/(2*PI()*3.6*0.285)</f>
        <v>0</v>
      </c>
      <c r="I1477">
        <f t="shared" ref="I1477:I1540" si="141">1/1800</f>
        <v>5.5555555555555556E-4</v>
      </c>
      <c r="J1477">
        <f t="shared" ref="J1477:J1540" si="142">F1477/(M$3*3.6)</f>
        <v>0</v>
      </c>
      <c r="K1477">
        <f t="shared" ref="K1477:K1540" si="143">G1477*3.6/N$3</f>
        <v>0</v>
      </c>
    </row>
    <row r="1478" spans="1:11" x14ac:dyDescent="0.35">
      <c r="A1478" s="5" t="s">
        <v>8</v>
      </c>
      <c r="B1478" s="5">
        <v>1475</v>
      </c>
      <c r="C1478" s="5">
        <v>453</v>
      </c>
      <c r="D1478" s="16">
        <v>0</v>
      </c>
      <c r="E1478" s="1">
        <f t="shared" si="138"/>
        <v>0</v>
      </c>
      <c r="F1478">
        <f t="shared" si="139"/>
        <v>0</v>
      </c>
      <c r="G1478">
        <f t="shared" si="140"/>
        <v>0</v>
      </c>
      <c r="I1478">
        <f t="shared" si="141"/>
        <v>5.5555555555555556E-4</v>
      </c>
      <c r="J1478">
        <f t="shared" si="142"/>
        <v>0</v>
      </c>
      <c r="K1478">
        <f t="shared" si="143"/>
        <v>0</v>
      </c>
    </row>
    <row r="1479" spans="1:11" x14ac:dyDescent="0.35">
      <c r="A1479" s="5" t="s">
        <v>8</v>
      </c>
      <c r="B1479" s="5">
        <v>1476</v>
      </c>
      <c r="C1479" s="5">
        <v>454</v>
      </c>
      <c r="D1479" s="16">
        <v>0</v>
      </c>
      <c r="E1479" s="1">
        <f t="shared" si="138"/>
        <v>0</v>
      </c>
      <c r="F1479">
        <f t="shared" si="139"/>
        <v>0</v>
      </c>
      <c r="G1479">
        <f t="shared" si="140"/>
        <v>0</v>
      </c>
      <c r="I1479">
        <f t="shared" si="141"/>
        <v>5.5555555555555556E-4</v>
      </c>
      <c r="J1479">
        <f t="shared" si="142"/>
        <v>0</v>
      </c>
      <c r="K1479">
        <f t="shared" si="143"/>
        <v>0</v>
      </c>
    </row>
    <row r="1480" spans="1:11" x14ac:dyDescent="0.35">
      <c r="A1480" s="5" t="s">
        <v>8</v>
      </c>
      <c r="B1480" s="5">
        <v>1477</v>
      </c>
      <c r="C1480" s="5">
        <v>455</v>
      </c>
      <c r="D1480" s="16">
        <v>0</v>
      </c>
      <c r="E1480" s="1">
        <f t="shared" si="138"/>
        <v>0</v>
      </c>
      <c r="F1480">
        <f t="shared" si="139"/>
        <v>0</v>
      </c>
      <c r="G1480">
        <f t="shared" si="140"/>
        <v>0</v>
      </c>
      <c r="I1480">
        <f t="shared" si="141"/>
        <v>5.5555555555555556E-4</v>
      </c>
      <c r="J1480">
        <f t="shared" si="142"/>
        <v>0</v>
      </c>
      <c r="K1480">
        <f t="shared" si="143"/>
        <v>0</v>
      </c>
    </row>
    <row r="1481" spans="1:11" x14ac:dyDescent="0.35">
      <c r="A1481" s="6" t="s">
        <v>9</v>
      </c>
      <c r="B1481" s="6">
        <v>1478</v>
      </c>
      <c r="C1481" s="6">
        <v>1</v>
      </c>
      <c r="D1481" s="17">
        <v>0</v>
      </c>
      <c r="E1481" s="1">
        <f t="shared" si="138"/>
        <v>0.30555555555555558</v>
      </c>
      <c r="F1481">
        <f t="shared" si="139"/>
        <v>0</v>
      </c>
      <c r="G1481">
        <f t="shared" si="140"/>
        <v>0</v>
      </c>
      <c r="I1481">
        <f t="shared" si="141"/>
        <v>5.5555555555555556E-4</v>
      </c>
      <c r="J1481">
        <f t="shared" si="142"/>
        <v>0</v>
      </c>
      <c r="K1481">
        <f t="shared" si="143"/>
        <v>0</v>
      </c>
    </row>
    <row r="1482" spans="1:11" x14ac:dyDescent="0.35">
      <c r="A1482" s="6" t="s">
        <v>9</v>
      </c>
      <c r="B1482" s="6">
        <v>1479</v>
      </c>
      <c r="C1482" s="6">
        <v>2</v>
      </c>
      <c r="D1482" s="17">
        <v>2.2000000000000002</v>
      </c>
      <c r="E1482" s="1">
        <f t="shared" si="138"/>
        <v>0.61111111111111116</v>
      </c>
      <c r="F1482">
        <f t="shared" si="139"/>
        <v>345.81296151851853</v>
      </c>
      <c r="G1482">
        <f t="shared" si="140"/>
        <v>20.47607454983449</v>
      </c>
      <c r="I1482">
        <f t="shared" si="141"/>
        <v>5.5555555555555556E-4</v>
      </c>
      <c r="J1482">
        <f t="shared" si="142"/>
        <v>0.48029577988683131</v>
      </c>
      <c r="K1482">
        <f t="shared" si="143"/>
        <v>4.9142578919602775E-2</v>
      </c>
    </row>
    <row r="1483" spans="1:11" x14ac:dyDescent="0.35">
      <c r="A1483" s="6" t="s">
        <v>9</v>
      </c>
      <c r="B1483" s="6">
        <v>1480</v>
      </c>
      <c r="C1483" s="6">
        <v>3</v>
      </c>
      <c r="D1483" s="17">
        <v>4.4000000000000004</v>
      </c>
      <c r="E1483" s="1">
        <f t="shared" si="138"/>
        <v>0.56944444444444442</v>
      </c>
      <c r="F1483">
        <f t="shared" si="139"/>
        <v>326.95064607407409</v>
      </c>
      <c r="G1483">
        <f t="shared" si="140"/>
        <v>40.952149099668979</v>
      </c>
      <c r="I1483">
        <f t="shared" si="141"/>
        <v>5.5555555555555556E-4</v>
      </c>
      <c r="J1483">
        <f t="shared" si="142"/>
        <v>0.4540981195473251</v>
      </c>
      <c r="K1483">
        <f t="shared" si="143"/>
        <v>9.828515783920555E-2</v>
      </c>
    </row>
    <row r="1484" spans="1:11" x14ac:dyDescent="0.35">
      <c r="A1484" s="6" t="s">
        <v>9</v>
      </c>
      <c r="B1484" s="6">
        <v>1481</v>
      </c>
      <c r="C1484" s="6">
        <v>4</v>
      </c>
      <c r="D1484" s="17">
        <v>6.3</v>
      </c>
      <c r="E1484" s="1">
        <f t="shared" si="138"/>
        <v>0.4861111111111111</v>
      </c>
      <c r="F1484">
        <f t="shared" si="139"/>
        <v>289.14342341666662</v>
      </c>
      <c r="G1484">
        <f t="shared" si="140"/>
        <v>58.636031665435127</v>
      </c>
      <c r="I1484">
        <f t="shared" si="141"/>
        <v>5.5555555555555556E-4</v>
      </c>
      <c r="J1484">
        <f t="shared" si="142"/>
        <v>0.40158808807870366</v>
      </c>
      <c r="K1484">
        <f t="shared" si="143"/>
        <v>0.1407264759970443</v>
      </c>
    </row>
    <row r="1485" spans="1:11" x14ac:dyDescent="0.35">
      <c r="A1485" s="6" t="s">
        <v>9</v>
      </c>
      <c r="B1485" s="6">
        <v>1482</v>
      </c>
      <c r="C1485" s="6">
        <v>5</v>
      </c>
      <c r="D1485" s="17">
        <v>7.9</v>
      </c>
      <c r="E1485" s="1">
        <f t="shared" si="138"/>
        <v>0.40277777777777768</v>
      </c>
      <c r="F1485">
        <f t="shared" si="139"/>
        <v>251.35886371296291</v>
      </c>
      <c r="G1485">
        <f t="shared" si="140"/>
        <v>73.527722247132942</v>
      </c>
      <c r="I1485">
        <f t="shared" si="141"/>
        <v>5.5555555555555556E-4</v>
      </c>
      <c r="J1485">
        <f t="shared" si="142"/>
        <v>0.34910953293467073</v>
      </c>
      <c r="K1485">
        <f t="shared" si="143"/>
        <v>0.17646653339311907</v>
      </c>
    </row>
    <row r="1486" spans="1:11" x14ac:dyDescent="0.35">
      <c r="A1486" s="6" t="s">
        <v>9</v>
      </c>
      <c r="B1486" s="6">
        <v>1483</v>
      </c>
      <c r="C1486" s="6">
        <v>6</v>
      </c>
      <c r="D1486" s="17">
        <v>9.1999999999999993</v>
      </c>
      <c r="E1486" s="1">
        <f t="shared" si="138"/>
        <v>0.34722222222222221</v>
      </c>
      <c r="F1486">
        <f t="shared" si="139"/>
        <v>226.23632429629626</v>
      </c>
      <c r="G1486">
        <f t="shared" si="140"/>
        <v>85.627220844762405</v>
      </c>
      <c r="I1486">
        <f t="shared" si="141"/>
        <v>5.5555555555555556E-4</v>
      </c>
      <c r="J1486">
        <f t="shared" si="142"/>
        <v>0.31421711707818922</v>
      </c>
      <c r="K1486">
        <f t="shared" si="143"/>
        <v>0.20550533002742979</v>
      </c>
    </row>
    <row r="1487" spans="1:11" x14ac:dyDescent="0.35">
      <c r="A1487" s="6" t="s">
        <v>9</v>
      </c>
      <c r="B1487" s="6">
        <v>1484</v>
      </c>
      <c r="C1487" s="6">
        <v>7</v>
      </c>
      <c r="D1487" s="17">
        <v>10.4</v>
      </c>
      <c r="E1487" s="1">
        <f t="shared" si="138"/>
        <v>0.31944444444444453</v>
      </c>
      <c r="F1487">
        <f t="shared" si="139"/>
        <v>213.79268385185185</v>
      </c>
      <c r="G1487">
        <f t="shared" si="140"/>
        <v>96.795988781035774</v>
      </c>
      <c r="I1487">
        <f t="shared" si="141"/>
        <v>5.5555555555555556E-4</v>
      </c>
      <c r="J1487">
        <f t="shared" si="142"/>
        <v>0.29693428312757203</v>
      </c>
      <c r="K1487">
        <f t="shared" si="143"/>
        <v>0.23231037307448585</v>
      </c>
    </row>
    <row r="1488" spans="1:11" x14ac:dyDescent="0.35">
      <c r="A1488" s="6" t="s">
        <v>9</v>
      </c>
      <c r="B1488" s="6">
        <v>1485</v>
      </c>
      <c r="C1488" s="6">
        <v>8</v>
      </c>
      <c r="D1488" s="17">
        <v>11.5</v>
      </c>
      <c r="E1488" s="1">
        <f t="shared" si="138"/>
        <v>0.34722222222222221</v>
      </c>
      <c r="F1488">
        <f t="shared" si="139"/>
        <v>226.68778171296293</v>
      </c>
      <c r="G1488">
        <f t="shared" si="140"/>
        <v>107.03402605595302</v>
      </c>
      <c r="I1488">
        <f t="shared" si="141"/>
        <v>5.5555555555555556E-4</v>
      </c>
      <c r="J1488">
        <f t="shared" si="142"/>
        <v>0.31484414126800409</v>
      </c>
      <c r="K1488">
        <f t="shared" si="143"/>
        <v>0.25688166253428724</v>
      </c>
    </row>
    <row r="1489" spans="1:11" x14ac:dyDescent="0.35">
      <c r="A1489" s="6" t="s">
        <v>9</v>
      </c>
      <c r="B1489" s="6">
        <v>1486</v>
      </c>
      <c r="C1489" s="6">
        <v>9</v>
      </c>
      <c r="D1489" s="17">
        <v>12.9</v>
      </c>
      <c r="E1489" s="1">
        <f t="shared" si="138"/>
        <v>0.44444444444444431</v>
      </c>
      <c r="F1489">
        <f t="shared" si="139"/>
        <v>271.34503408333325</v>
      </c>
      <c r="G1489">
        <f t="shared" si="140"/>
        <v>120.06425531493859</v>
      </c>
      <c r="I1489">
        <f t="shared" si="141"/>
        <v>5.5555555555555556E-4</v>
      </c>
      <c r="J1489">
        <f t="shared" si="142"/>
        <v>0.37686810289351841</v>
      </c>
      <c r="K1489">
        <f t="shared" si="143"/>
        <v>0.28815421275585262</v>
      </c>
    </row>
    <row r="1490" spans="1:11" x14ac:dyDescent="0.35">
      <c r="A1490" s="6" t="s">
        <v>9</v>
      </c>
      <c r="B1490" s="6">
        <v>1487</v>
      </c>
      <c r="C1490" s="6">
        <v>10</v>
      </c>
      <c r="D1490" s="17">
        <v>14.7</v>
      </c>
      <c r="E1490" s="1">
        <f t="shared" si="138"/>
        <v>0.56944444444444442</v>
      </c>
      <c r="F1490">
        <f t="shared" si="139"/>
        <v>328.81612008333332</v>
      </c>
      <c r="G1490">
        <f t="shared" si="140"/>
        <v>136.81740721934864</v>
      </c>
      <c r="I1490">
        <f t="shared" si="141"/>
        <v>5.5555555555555556E-4</v>
      </c>
      <c r="J1490">
        <f t="shared" si="142"/>
        <v>0.45668905567129625</v>
      </c>
      <c r="K1490">
        <f t="shared" si="143"/>
        <v>0.32836177732643673</v>
      </c>
    </row>
    <row r="1491" spans="1:11" x14ac:dyDescent="0.35">
      <c r="A1491" s="6" t="s">
        <v>9</v>
      </c>
      <c r="B1491" s="6">
        <v>1488</v>
      </c>
      <c r="C1491" s="6">
        <v>11</v>
      </c>
      <c r="D1491" s="17">
        <v>17</v>
      </c>
      <c r="E1491" s="1">
        <f t="shared" si="138"/>
        <v>0.70833333333333348</v>
      </c>
      <c r="F1491">
        <f t="shared" si="139"/>
        <v>392.84081574074077</v>
      </c>
      <c r="G1491">
        <f t="shared" si="140"/>
        <v>158.22421243053924</v>
      </c>
      <c r="I1491">
        <f t="shared" si="141"/>
        <v>5.5555555555555556E-4</v>
      </c>
      <c r="J1491">
        <f t="shared" si="142"/>
        <v>0.54561224408436215</v>
      </c>
      <c r="K1491">
        <f t="shared" si="143"/>
        <v>0.3797381098332942</v>
      </c>
    </row>
    <row r="1492" spans="1:11" x14ac:dyDescent="0.35">
      <c r="A1492" s="6" t="s">
        <v>9</v>
      </c>
      <c r="B1492" s="6">
        <v>1489</v>
      </c>
      <c r="C1492" s="6">
        <v>12</v>
      </c>
      <c r="D1492" s="17">
        <v>19.8</v>
      </c>
      <c r="E1492" s="1">
        <f t="shared" si="138"/>
        <v>0.84722222222222243</v>
      </c>
      <c r="F1492">
        <f t="shared" si="139"/>
        <v>457.15121633333337</v>
      </c>
      <c r="G1492">
        <f t="shared" si="140"/>
        <v>184.28467094851041</v>
      </c>
      <c r="I1492">
        <f t="shared" si="141"/>
        <v>5.5555555555555556E-4</v>
      </c>
      <c r="J1492">
        <f t="shared" si="142"/>
        <v>0.63493224490740741</v>
      </c>
      <c r="K1492">
        <f t="shared" si="143"/>
        <v>0.44228321027642498</v>
      </c>
    </row>
    <row r="1493" spans="1:11" x14ac:dyDescent="0.35">
      <c r="A1493" s="6" t="s">
        <v>9</v>
      </c>
      <c r="B1493" s="6">
        <v>1490</v>
      </c>
      <c r="C1493" s="6">
        <v>13</v>
      </c>
      <c r="D1493" s="17">
        <v>23.1</v>
      </c>
      <c r="E1493" s="1">
        <f t="shared" si="138"/>
        <v>0.95833333333333315</v>
      </c>
      <c r="F1493">
        <f t="shared" si="139"/>
        <v>509.16030741666651</v>
      </c>
      <c r="G1493">
        <f t="shared" si="140"/>
        <v>214.99878277326215</v>
      </c>
      <c r="I1493">
        <f t="shared" si="141"/>
        <v>5.5555555555555556E-4</v>
      </c>
      <c r="J1493">
        <f t="shared" si="142"/>
        <v>0.707167093634259</v>
      </c>
      <c r="K1493">
        <f t="shared" si="143"/>
        <v>0.51599707865582911</v>
      </c>
    </row>
    <row r="1494" spans="1:11" x14ac:dyDescent="0.35">
      <c r="A1494" s="6" t="s">
        <v>9</v>
      </c>
      <c r="B1494" s="6">
        <v>1491</v>
      </c>
      <c r="C1494" s="6">
        <v>14</v>
      </c>
      <c r="D1494" s="17">
        <v>26.7</v>
      </c>
      <c r="E1494" s="1">
        <f t="shared" si="138"/>
        <v>1.0277777777777775</v>
      </c>
      <c r="F1494">
        <f t="shared" si="139"/>
        <v>542.52698008333311</v>
      </c>
      <c r="G1494">
        <f t="shared" si="140"/>
        <v>248.50508658208221</v>
      </c>
      <c r="I1494">
        <f t="shared" si="141"/>
        <v>5.5555555555555556E-4</v>
      </c>
      <c r="J1494">
        <f t="shared" si="142"/>
        <v>0.75350969456018491</v>
      </c>
      <c r="K1494">
        <f t="shared" si="143"/>
        <v>0.59641220779699733</v>
      </c>
    </row>
    <row r="1495" spans="1:11" x14ac:dyDescent="0.35">
      <c r="A1495" s="6" t="s">
        <v>9</v>
      </c>
      <c r="B1495" s="6">
        <v>1492</v>
      </c>
      <c r="C1495" s="6">
        <v>15</v>
      </c>
      <c r="D1495" s="17">
        <v>30.5</v>
      </c>
      <c r="E1495" s="1">
        <f t="shared" si="138"/>
        <v>1.0277777777777781</v>
      </c>
      <c r="F1495">
        <f t="shared" si="139"/>
        <v>544.58807615740761</v>
      </c>
      <c r="G1495">
        <f t="shared" si="140"/>
        <v>283.87285171361452</v>
      </c>
      <c r="I1495">
        <f t="shared" si="141"/>
        <v>5.5555555555555556E-4</v>
      </c>
      <c r="J1495">
        <f t="shared" si="142"/>
        <v>0.75637232799639942</v>
      </c>
      <c r="K1495">
        <f t="shared" si="143"/>
        <v>0.68129484411267494</v>
      </c>
    </row>
    <row r="1496" spans="1:11" x14ac:dyDescent="0.35">
      <c r="A1496" s="6" t="s">
        <v>9</v>
      </c>
      <c r="B1496" s="6">
        <v>1493</v>
      </c>
      <c r="C1496" s="6">
        <v>16</v>
      </c>
      <c r="D1496" s="17">
        <v>34.1</v>
      </c>
      <c r="E1496" s="1">
        <f t="shared" si="138"/>
        <v>0.97222222222222221</v>
      </c>
      <c r="F1496">
        <f t="shared" si="139"/>
        <v>521.45997149074071</v>
      </c>
      <c r="G1496">
        <f t="shared" si="140"/>
        <v>317.37915552243459</v>
      </c>
      <c r="I1496">
        <f t="shared" si="141"/>
        <v>5.5555555555555556E-4</v>
      </c>
      <c r="J1496">
        <f t="shared" si="142"/>
        <v>0.72424996040380651</v>
      </c>
      <c r="K1496">
        <f t="shared" si="143"/>
        <v>0.76170997325384304</v>
      </c>
    </row>
    <row r="1497" spans="1:11" x14ac:dyDescent="0.35">
      <c r="A1497" s="6" t="s">
        <v>9</v>
      </c>
      <c r="B1497" s="6">
        <v>1494</v>
      </c>
      <c r="C1497" s="6">
        <v>17</v>
      </c>
      <c r="D1497" s="17">
        <v>37.5</v>
      </c>
      <c r="E1497" s="1">
        <f t="shared" si="138"/>
        <v>0.90277777777777779</v>
      </c>
      <c r="F1497">
        <f t="shared" si="139"/>
        <v>492.10170208333329</v>
      </c>
      <c r="G1497">
        <f t="shared" si="140"/>
        <v>349.02399800854243</v>
      </c>
      <c r="I1497">
        <f t="shared" si="141"/>
        <v>5.5555555555555556E-4</v>
      </c>
      <c r="J1497">
        <f t="shared" si="142"/>
        <v>0.68347458622685175</v>
      </c>
      <c r="K1497">
        <f t="shared" si="143"/>
        <v>0.83765759522050176</v>
      </c>
    </row>
    <row r="1498" spans="1:11" x14ac:dyDescent="0.35">
      <c r="A1498" s="6" t="s">
        <v>9</v>
      </c>
      <c r="B1498" s="6">
        <v>1495</v>
      </c>
      <c r="C1498" s="6">
        <v>18</v>
      </c>
      <c r="D1498" s="17">
        <v>40.6</v>
      </c>
      <c r="E1498" s="1">
        <f t="shared" si="138"/>
        <v>0.80555555555555514</v>
      </c>
      <c r="F1498">
        <f t="shared" si="139"/>
        <v>450.06415440740722</v>
      </c>
      <c r="G1498">
        <f t="shared" si="140"/>
        <v>377.87664851058196</v>
      </c>
      <c r="I1498">
        <f t="shared" si="141"/>
        <v>5.5555555555555556E-4</v>
      </c>
      <c r="J1498">
        <f t="shared" si="142"/>
        <v>0.62508910334362111</v>
      </c>
      <c r="K1498">
        <f t="shared" si="143"/>
        <v>0.90690395642539667</v>
      </c>
    </row>
    <row r="1499" spans="1:11" x14ac:dyDescent="0.35">
      <c r="A1499" s="6" t="s">
        <v>9</v>
      </c>
      <c r="B1499" s="6">
        <v>1496</v>
      </c>
      <c r="C1499" s="6">
        <v>19</v>
      </c>
      <c r="D1499" s="17">
        <v>43.3</v>
      </c>
      <c r="E1499" s="1">
        <f t="shared" si="138"/>
        <v>0.70833333333333348</v>
      </c>
      <c r="F1499">
        <f t="shared" si="139"/>
        <v>407.87887082407411</v>
      </c>
      <c r="G1499">
        <f t="shared" si="140"/>
        <v>403.00637636719699</v>
      </c>
      <c r="I1499">
        <f t="shared" si="141"/>
        <v>5.5555555555555556E-4</v>
      </c>
      <c r="J1499">
        <f t="shared" si="142"/>
        <v>0.56649843170010294</v>
      </c>
      <c r="K1499">
        <f t="shared" si="143"/>
        <v>0.96721530328127281</v>
      </c>
    </row>
    <row r="1500" spans="1:11" x14ac:dyDescent="0.35">
      <c r="A1500" s="6" t="s">
        <v>9</v>
      </c>
      <c r="B1500" s="6">
        <v>1497</v>
      </c>
      <c r="C1500" s="6">
        <v>20</v>
      </c>
      <c r="D1500" s="17">
        <v>45.7</v>
      </c>
      <c r="E1500" s="1">
        <f t="shared" si="138"/>
        <v>0.61111111111111194</v>
      </c>
      <c r="F1500">
        <f t="shared" si="139"/>
        <v>365.57097971296326</v>
      </c>
      <c r="G1500">
        <f t="shared" si="140"/>
        <v>425.3439122397437</v>
      </c>
      <c r="I1500">
        <f t="shared" si="141"/>
        <v>5.5555555555555556E-4</v>
      </c>
      <c r="J1500">
        <f t="shared" si="142"/>
        <v>0.5077374718235601</v>
      </c>
      <c r="K1500">
        <f t="shared" si="143"/>
        <v>1.0208253893753849</v>
      </c>
    </row>
    <row r="1501" spans="1:11" x14ac:dyDescent="0.35">
      <c r="A1501" s="6" t="s">
        <v>9</v>
      </c>
      <c r="B1501" s="6">
        <v>1498</v>
      </c>
      <c r="C1501" s="6">
        <v>21</v>
      </c>
      <c r="D1501" s="17">
        <v>47.7</v>
      </c>
      <c r="E1501" s="1">
        <f t="shared" si="138"/>
        <v>0.49999999999999922</v>
      </c>
      <c r="F1501">
        <f t="shared" si="139"/>
        <v>316.67562674999959</v>
      </c>
      <c r="G1501">
        <f t="shared" si="140"/>
        <v>443.95852546686598</v>
      </c>
      <c r="I1501">
        <f t="shared" si="141"/>
        <v>5.5555555555555556E-4</v>
      </c>
      <c r="J1501">
        <f t="shared" si="142"/>
        <v>0.43982725937499945</v>
      </c>
      <c r="K1501">
        <f t="shared" si="143"/>
        <v>1.0655004611204784</v>
      </c>
    </row>
    <row r="1502" spans="1:11" x14ac:dyDescent="0.35">
      <c r="A1502" s="6" t="s">
        <v>9</v>
      </c>
      <c r="B1502" s="6">
        <v>1499</v>
      </c>
      <c r="C1502" s="6">
        <v>22</v>
      </c>
      <c r="D1502" s="17">
        <v>49.3</v>
      </c>
      <c r="E1502" s="1">
        <f t="shared" si="138"/>
        <v>0.38888888888888851</v>
      </c>
      <c r="F1502">
        <f t="shared" si="139"/>
        <v>267.48062971296275</v>
      </c>
      <c r="G1502">
        <f t="shared" si="140"/>
        <v>458.85021604856377</v>
      </c>
      <c r="I1502">
        <f t="shared" si="141"/>
        <v>5.5555555555555556E-4</v>
      </c>
      <c r="J1502">
        <f t="shared" si="142"/>
        <v>0.37150087460133718</v>
      </c>
      <c r="K1502">
        <f t="shared" si="143"/>
        <v>1.101240518516553</v>
      </c>
    </row>
    <row r="1503" spans="1:11" x14ac:dyDescent="0.35">
      <c r="A1503" s="6" t="s">
        <v>9</v>
      </c>
      <c r="B1503" s="6">
        <v>1500</v>
      </c>
      <c r="C1503" s="6">
        <v>23</v>
      </c>
      <c r="D1503" s="17">
        <v>50.5</v>
      </c>
      <c r="E1503" s="1">
        <f t="shared" si="138"/>
        <v>0.27777777777777779</v>
      </c>
      <c r="F1503">
        <f t="shared" si="139"/>
        <v>217.94957615740739</v>
      </c>
      <c r="G1503">
        <f t="shared" si="140"/>
        <v>470.01898398483718</v>
      </c>
      <c r="I1503">
        <f t="shared" si="141"/>
        <v>5.5555555555555556E-4</v>
      </c>
      <c r="J1503">
        <f t="shared" si="142"/>
        <v>0.30270774466306583</v>
      </c>
      <c r="K1503">
        <f t="shared" si="143"/>
        <v>1.1280455615636091</v>
      </c>
    </row>
    <row r="1504" spans="1:11" x14ac:dyDescent="0.35">
      <c r="A1504" s="6" t="s">
        <v>9</v>
      </c>
      <c r="B1504" s="6">
        <v>1501</v>
      </c>
      <c r="C1504" s="6">
        <v>24</v>
      </c>
      <c r="D1504" s="17">
        <v>51.3</v>
      </c>
      <c r="E1504" s="1">
        <f t="shared" si="138"/>
        <v>0.2222222222222224</v>
      </c>
      <c r="F1504">
        <f t="shared" si="139"/>
        <v>193.38849008333341</v>
      </c>
      <c r="G1504">
        <f t="shared" si="140"/>
        <v>477.46482927568604</v>
      </c>
      <c r="I1504">
        <f t="shared" si="141"/>
        <v>5.5555555555555556E-4</v>
      </c>
      <c r="J1504">
        <f t="shared" si="142"/>
        <v>0.26859512511574085</v>
      </c>
      <c r="K1504">
        <f t="shared" si="143"/>
        <v>1.1459155902616465</v>
      </c>
    </row>
    <row r="1505" spans="1:11" x14ac:dyDescent="0.35">
      <c r="A1505" s="6" t="s">
        <v>9</v>
      </c>
      <c r="B1505" s="6">
        <v>1502</v>
      </c>
      <c r="C1505" s="6">
        <v>25</v>
      </c>
      <c r="D1505" s="17">
        <v>52.1</v>
      </c>
      <c r="E1505" s="1">
        <f t="shared" si="138"/>
        <v>0.19444444444444522</v>
      </c>
      <c r="F1505">
        <f t="shared" si="139"/>
        <v>181.50620815740774</v>
      </c>
      <c r="G1505">
        <f t="shared" si="140"/>
        <v>484.91067456653496</v>
      </c>
      <c r="I1505">
        <f t="shared" si="141"/>
        <v>5.5555555555555556E-4</v>
      </c>
      <c r="J1505">
        <f t="shared" si="142"/>
        <v>0.25209195577417742</v>
      </c>
      <c r="K1505">
        <f t="shared" si="143"/>
        <v>1.163785618959684</v>
      </c>
    </row>
    <row r="1506" spans="1:11" x14ac:dyDescent="0.35">
      <c r="A1506" s="6" t="s">
        <v>9</v>
      </c>
      <c r="B1506" s="6">
        <v>1503</v>
      </c>
      <c r="C1506" s="6">
        <v>26</v>
      </c>
      <c r="D1506" s="17">
        <v>52.7</v>
      </c>
      <c r="E1506" s="1">
        <f t="shared" si="138"/>
        <v>0.18055555555555516</v>
      </c>
      <c r="F1506">
        <f t="shared" si="139"/>
        <v>175.76912860185166</v>
      </c>
      <c r="G1506">
        <f t="shared" si="140"/>
        <v>490.49505853467161</v>
      </c>
      <c r="I1506">
        <f t="shared" si="141"/>
        <v>5.5555555555555556E-4</v>
      </c>
      <c r="J1506">
        <f t="shared" si="142"/>
        <v>0.24412378972479398</v>
      </c>
      <c r="K1506">
        <f t="shared" si="143"/>
        <v>1.1771881404832119</v>
      </c>
    </row>
    <row r="1507" spans="1:11" x14ac:dyDescent="0.35">
      <c r="A1507" s="6" t="s">
        <v>9</v>
      </c>
      <c r="B1507" s="6">
        <v>1504</v>
      </c>
      <c r="C1507" s="6">
        <v>27</v>
      </c>
      <c r="D1507" s="17">
        <v>53.4</v>
      </c>
      <c r="E1507" s="1">
        <f t="shared" si="138"/>
        <v>0.18055555555555516</v>
      </c>
      <c r="F1507">
        <f t="shared" si="139"/>
        <v>176.4733869999998</v>
      </c>
      <c r="G1507">
        <f t="shared" si="140"/>
        <v>497.01017316416443</v>
      </c>
      <c r="I1507">
        <f t="shared" si="141"/>
        <v>5.5555555555555556E-4</v>
      </c>
      <c r="J1507">
        <f t="shared" si="142"/>
        <v>0.24510192638888861</v>
      </c>
      <c r="K1507">
        <f t="shared" si="143"/>
        <v>1.1928244155939947</v>
      </c>
    </row>
    <row r="1508" spans="1:11" x14ac:dyDescent="0.35">
      <c r="A1508" s="6" t="s">
        <v>9</v>
      </c>
      <c r="B1508" s="6">
        <v>1505</v>
      </c>
      <c r="C1508" s="6">
        <v>28</v>
      </c>
      <c r="D1508" s="17">
        <v>54</v>
      </c>
      <c r="E1508" s="1">
        <f t="shared" si="138"/>
        <v>0.15277777777777798</v>
      </c>
      <c r="F1508">
        <f t="shared" si="139"/>
        <v>164.41776666666672</v>
      </c>
      <c r="G1508">
        <f t="shared" si="140"/>
        <v>502.59455713230113</v>
      </c>
      <c r="I1508">
        <f t="shared" si="141"/>
        <v>5.5555555555555556E-4</v>
      </c>
      <c r="J1508">
        <f t="shared" si="142"/>
        <v>0.22835800925925934</v>
      </c>
      <c r="K1508">
        <f t="shared" si="143"/>
        <v>1.2062269371175227</v>
      </c>
    </row>
    <row r="1509" spans="1:11" x14ac:dyDescent="0.35">
      <c r="A1509" s="6" t="s">
        <v>9</v>
      </c>
      <c r="B1509" s="6">
        <v>1506</v>
      </c>
      <c r="C1509" s="6">
        <v>29</v>
      </c>
      <c r="D1509" s="17">
        <v>54.5</v>
      </c>
      <c r="E1509" s="1">
        <f t="shared" si="138"/>
        <v>0.1388888888888889</v>
      </c>
      <c r="F1509">
        <f t="shared" si="139"/>
        <v>158.59885393518516</v>
      </c>
      <c r="G1509">
        <f t="shared" si="140"/>
        <v>507.24821043908167</v>
      </c>
      <c r="I1509">
        <f t="shared" si="141"/>
        <v>5.5555555555555556E-4</v>
      </c>
      <c r="J1509">
        <f t="shared" si="142"/>
        <v>0.2202761860210905</v>
      </c>
      <c r="K1509">
        <f t="shared" si="143"/>
        <v>1.217395705053796</v>
      </c>
    </row>
    <row r="1510" spans="1:11" x14ac:dyDescent="0.35">
      <c r="A1510" s="6" t="s">
        <v>9</v>
      </c>
      <c r="B1510" s="6">
        <v>1507</v>
      </c>
      <c r="C1510" s="6">
        <v>30</v>
      </c>
      <c r="D1510" s="17">
        <v>55</v>
      </c>
      <c r="E1510" s="1">
        <f t="shared" si="138"/>
        <v>0.15277777777777798</v>
      </c>
      <c r="F1510">
        <f t="shared" si="139"/>
        <v>165.45134907407413</v>
      </c>
      <c r="G1510">
        <f t="shared" si="140"/>
        <v>511.90186374586222</v>
      </c>
      <c r="I1510">
        <f t="shared" si="141"/>
        <v>5.5555555555555556E-4</v>
      </c>
      <c r="J1510">
        <f t="shared" si="142"/>
        <v>0.22979354038065852</v>
      </c>
      <c r="K1510">
        <f t="shared" si="143"/>
        <v>1.2285644729900693</v>
      </c>
    </row>
    <row r="1511" spans="1:11" x14ac:dyDescent="0.35">
      <c r="A1511" s="6" t="s">
        <v>9</v>
      </c>
      <c r="B1511" s="6">
        <v>1508</v>
      </c>
      <c r="C1511" s="6">
        <v>31</v>
      </c>
      <c r="D1511" s="17">
        <v>55.6</v>
      </c>
      <c r="E1511" s="1">
        <f t="shared" si="138"/>
        <v>0.18055555555555516</v>
      </c>
      <c r="F1511">
        <f t="shared" si="139"/>
        <v>178.74726829629614</v>
      </c>
      <c r="G1511">
        <f t="shared" si="140"/>
        <v>517.48624771399898</v>
      </c>
      <c r="I1511">
        <f t="shared" si="141"/>
        <v>5.5555555555555556E-4</v>
      </c>
      <c r="J1511">
        <f t="shared" si="142"/>
        <v>0.24826009485596687</v>
      </c>
      <c r="K1511">
        <f t="shared" si="143"/>
        <v>1.2419669945135976</v>
      </c>
    </row>
    <row r="1512" spans="1:11" x14ac:dyDescent="0.35">
      <c r="A1512" s="6" t="s">
        <v>9</v>
      </c>
      <c r="B1512" s="6">
        <v>1509</v>
      </c>
      <c r="C1512" s="6">
        <v>32</v>
      </c>
      <c r="D1512" s="17">
        <v>56.3</v>
      </c>
      <c r="E1512" s="1">
        <f t="shared" si="138"/>
        <v>0.2222222222222224</v>
      </c>
      <c r="F1512">
        <f t="shared" si="139"/>
        <v>198.49002526851856</v>
      </c>
      <c r="G1512">
        <f t="shared" si="140"/>
        <v>524.00136234349168</v>
      </c>
      <c r="I1512">
        <f t="shared" si="141"/>
        <v>5.5555555555555556E-4</v>
      </c>
      <c r="J1512">
        <f t="shared" si="142"/>
        <v>0.2756805906507202</v>
      </c>
      <c r="K1512">
        <f t="shared" si="143"/>
        <v>1.2576032696243802</v>
      </c>
    </row>
    <row r="1513" spans="1:11" x14ac:dyDescent="0.35">
      <c r="A1513" s="6" t="s">
        <v>9</v>
      </c>
      <c r="B1513" s="6">
        <v>1510</v>
      </c>
      <c r="C1513" s="6">
        <v>33</v>
      </c>
      <c r="D1513" s="17">
        <v>57.2</v>
      </c>
      <c r="E1513" s="1">
        <f t="shared" si="138"/>
        <v>0.30555555555555597</v>
      </c>
      <c r="F1513">
        <f t="shared" si="139"/>
        <v>237.45865318518534</v>
      </c>
      <c r="G1513">
        <f t="shared" si="140"/>
        <v>532.37793829569671</v>
      </c>
      <c r="I1513">
        <f t="shared" si="141"/>
        <v>5.5555555555555556E-4</v>
      </c>
      <c r="J1513">
        <f t="shared" si="142"/>
        <v>0.32980368497942408</v>
      </c>
      <c r="K1513">
        <f t="shared" si="143"/>
        <v>1.277707051909672</v>
      </c>
    </row>
    <row r="1514" spans="1:11" x14ac:dyDescent="0.35">
      <c r="A1514" s="6" t="s">
        <v>9</v>
      </c>
      <c r="B1514" s="6">
        <v>1511</v>
      </c>
      <c r="C1514" s="6">
        <v>34</v>
      </c>
      <c r="D1514" s="17">
        <v>58.5</v>
      </c>
      <c r="E1514" s="1">
        <f t="shared" si="138"/>
        <v>0.41666666666666663</v>
      </c>
      <c r="F1514">
        <f t="shared" si="139"/>
        <v>289.55156874999994</v>
      </c>
      <c r="G1514">
        <f t="shared" si="140"/>
        <v>544.47743689332617</v>
      </c>
      <c r="I1514">
        <f t="shared" si="141"/>
        <v>5.5555555555555556E-4</v>
      </c>
      <c r="J1514">
        <f t="shared" si="142"/>
        <v>0.40215495659722217</v>
      </c>
      <c r="K1514">
        <f t="shared" si="143"/>
        <v>1.3067458485439829</v>
      </c>
    </row>
    <row r="1515" spans="1:11" x14ac:dyDescent="0.35">
      <c r="A1515" s="6" t="s">
        <v>9</v>
      </c>
      <c r="B1515" s="6">
        <v>1512</v>
      </c>
      <c r="C1515" s="6">
        <v>35</v>
      </c>
      <c r="D1515" s="17">
        <v>60.2</v>
      </c>
      <c r="E1515" s="1">
        <f t="shared" si="138"/>
        <v>0.52777777777777735</v>
      </c>
      <c r="F1515">
        <f t="shared" si="139"/>
        <v>342.13169040740718</v>
      </c>
      <c r="G1515">
        <f t="shared" si="140"/>
        <v>560.29985813638018</v>
      </c>
      <c r="I1515">
        <f t="shared" si="141"/>
        <v>5.5555555555555556E-4</v>
      </c>
      <c r="J1515">
        <f t="shared" si="142"/>
        <v>0.47518290334362107</v>
      </c>
      <c r="K1515">
        <f t="shared" si="143"/>
        <v>1.3447196595273125</v>
      </c>
    </row>
    <row r="1516" spans="1:11" x14ac:dyDescent="0.35">
      <c r="A1516" s="6" t="s">
        <v>9</v>
      </c>
      <c r="B1516" s="6">
        <v>1513</v>
      </c>
      <c r="C1516" s="6">
        <v>36</v>
      </c>
      <c r="D1516" s="17">
        <v>62.3</v>
      </c>
      <c r="E1516" s="1">
        <f t="shared" si="138"/>
        <v>0.625</v>
      </c>
      <c r="F1516">
        <f t="shared" si="139"/>
        <v>388.90437304629626</v>
      </c>
      <c r="G1516">
        <f t="shared" si="140"/>
        <v>579.84520202485851</v>
      </c>
      <c r="I1516">
        <f t="shared" si="141"/>
        <v>5.5555555555555556E-4</v>
      </c>
      <c r="J1516">
        <f t="shared" si="142"/>
        <v>0.54014496256430033</v>
      </c>
      <c r="K1516">
        <f t="shared" si="143"/>
        <v>1.3916284848596605</v>
      </c>
    </row>
    <row r="1517" spans="1:11" x14ac:dyDescent="0.35">
      <c r="A1517" s="6" t="s">
        <v>9</v>
      </c>
      <c r="B1517" s="6">
        <v>1514</v>
      </c>
      <c r="C1517" s="6">
        <v>37</v>
      </c>
      <c r="D1517" s="17">
        <v>64.7</v>
      </c>
      <c r="E1517" s="1">
        <f t="shared" si="138"/>
        <v>0.6666666666666663</v>
      </c>
      <c r="F1517">
        <f t="shared" si="139"/>
        <v>410.79461082407391</v>
      </c>
      <c r="G1517">
        <f t="shared" si="140"/>
        <v>602.18273789740522</v>
      </c>
      <c r="I1517">
        <f t="shared" si="141"/>
        <v>5.5555555555555556E-4</v>
      </c>
      <c r="J1517">
        <f t="shared" si="142"/>
        <v>0.5705480705889916</v>
      </c>
      <c r="K1517">
        <f t="shared" si="143"/>
        <v>1.4452385709537727</v>
      </c>
    </row>
    <row r="1518" spans="1:11" x14ac:dyDescent="0.35">
      <c r="A1518" s="6" t="s">
        <v>9</v>
      </c>
      <c r="B1518" s="6">
        <v>1515</v>
      </c>
      <c r="C1518" s="6">
        <v>38</v>
      </c>
      <c r="D1518" s="17">
        <v>67.099999999999994</v>
      </c>
      <c r="E1518" s="1">
        <f t="shared" si="138"/>
        <v>0.625</v>
      </c>
      <c r="F1518">
        <f t="shared" si="139"/>
        <v>394.79408593518514</v>
      </c>
      <c r="G1518">
        <f t="shared" si="140"/>
        <v>624.52027376995181</v>
      </c>
      <c r="I1518">
        <f t="shared" si="141"/>
        <v>5.5555555555555556E-4</v>
      </c>
      <c r="J1518">
        <f t="shared" si="142"/>
        <v>0.54832511935442385</v>
      </c>
      <c r="K1518">
        <f t="shared" si="143"/>
        <v>1.4988486570478845</v>
      </c>
    </row>
    <row r="1519" spans="1:11" x14ac:dyDescent="0.35">
      <c r="A1519" s="6" t="s">
        <v>9</v>
      </c>
      <c r="B1519" s="6">
        <v>1516</v>
      </c>
      <c r="C1519" s="6">
        <v>39</v>
      </c>
      <c r="D1519" s="17">
        <v>69.2</v>
      </c>
      <c r="E1519" s="1">
        <f t="shared" si="138"/>
        <v>0.50000000000000122</v>
      </c>
      <c r="F1519">
        <f t="shared" si="139"/>
        <v>340.50823540740788</v>
      </c>
      <c r="G1519">
        <f t="shared" si="140"/>
        <v>644.06561765843026</v>
      </c>
      <c r="I1519">
        <f t="shared" si="141"/>
        <v>5.5555555555555556E-4</v>
      </c>
      <c r="J1519">
        <f t="shared" si="142"/>
        <v>0.47292810473251096</v>
      </c>
      <c r="K1519">
        <f t="shared" si="143"/>
        <v>1.5457574823802327</v>
      </c>
    </row>
    <row r="1520" spans="1:11" x14ac:dyDescent="0.35">
      <c r="A1520" s="6" t="s">
        <v>9</v>
      </c>
      <c r="B1520" s="6">
        <v>1517</v>
      </c>
      <c r="C1520" s="6">
        <v>40</v>
      </c>
      <c r="D1520" s="17">
        <v>70.7</v>
      </c>
      <c r="E1520" s="1">
        <f t="shared" si="138"/>
        <v>0.37500000000000039</v>
      </c>
      <c r="F1520">
        <f t="shared" si="139"/>
        <v>285.49811860185201</v>
      </c>
      <c r="G1520">
        <f t="shared" si="140"/>
        <v>658.02657757877205</v>
      </c>
      <c r="I1520">
        <f t="shared" si="141"/>
        <v>5.5555555555555556E-4</v>
      </c>
      <c r="J1520">
        <f t="shared" si="142"/>
        <v>0.39652516472479449</v>
      </c>
      <c r="K1520">
        <f t="shared" si="143"/>
        <v>1.5792637861890528</v>
      </c>
    </row>
    <row r="1521" spans="1:11" x14ac:dyDescent="0.35">
      <c r="A1521" s="6" t="s">
        <v>9</v>
      </c>
      <c r="B1521" s="6">
        <v>1518</v>
      </c>
      <c r="C1521" s="6">
        <v>41</v>
      </c>
      <c r="D1521" s="17">
        <v>71.900000000000006</v>
      </c>
      <c r="E1521" s="1">
        <f t="shared" si="138"/>
        <v>0.27777777777777779</v>
      </c>
      <c r="F1521">
        <f t="shared" si="139"/>
        <v>242.78741482407406</v>
      </c>
      <c r="G1521">
        <f t="shared" si="140"/>
        <v>669.19534551504535</v>
      </c>
      <c r="I1521">
        <f t="shared" si="141"/>
        <v>5.5555555555555556E-4</v>
      </c>
      <c r="J1521">
        <f t="shared" si="142"/>
        <v>0.33720474281121399</v>
      </c>
      <c r="K1521">
        <f t="shared" si="143"/>
        <v>1.6060688292361089</v>
      </c>
    </row>
    <row r="1522" spans="1:11" x14ac:dyDescent="0.35">
      <c r="A1522" s="6" t="s">
        <v>9</v>
      </c>
      <c r="B1522" s="6">
        <v>1519</v>
      </c>
      <c r="C1522" s="6">
        <v>42</v>
      </c>
      <c r="D1522" s="17">
        <v>72.7</v>
      </c>
      <c r="E1522" s="1">
        <f t="shared" si="138"/>
        <v>0.20833333333333331</v>
      </c>
      <c r="F1522">
        <f t="shared" si="139"/>
        <v>212.21767304629628</v>
      </c>
      <c r="G1522">
        <f t="shared" si="140"/>
        <v>676.64119080589433</v>
      </c>
      <c r="I1522">
        <f t="shared" si="141"/>
        <v>5.5555555555555556E-4</v>
      </c>
      <c r="J1522">
        <f t="shared" si="142"/>
        <v>0.29474676811985595</v>
      </c>
      <c r="K1522">
        <f t="shared" si="143"/>
        <v>1.6239388579341463</v>
      </c>
    </row>
    <row r="1523" spans="1:11" x14ac:dyDescent="0.35">
      <c r="A1523" s="6" t="s">
        <v>9</v>
      </c>
      <c r="B1523" s="6">
        <v>1520</v>
      </c>
      <c r="C1523" s="6">
        <v>43</v>
      </c>
      <c r="D1523" s="17">
        <v>73.400000000000006</v>
      </c>
      <c r="E1523" s="1">
        <f t="shared" si="138"/>
        <v>0.15277777777777699</v>
      </c>
      <c r="F1523">
        <f t="shared" si="139"/>
        <v>187.85410551851814</v>
      </c>
      <c r="G1523">
        <f t="shared" si="140"/>
        <v>683.15630543538703</v>
      </c>
      <c r="I1523">
        <f t="shared" si="141"/>
        <v>5.5555555555555556E-4</v>
      </c>
      <c r="J1523">
        <f t="shared" si="142"/>
        <v>0.26090847988683075</v>
      </c>
      <c r="K1523">
        <f t="shared" si="143"/>
        <v>1.6395751330449291</v>
      </c>
    </row>
    <row r="1524" spans="1:11" x14ac:dyDescent="0.35">
      <c r="A1524" s="6" t="s">
        <v>9</v>
      </c>
      <c r="B1524" s="6">
        <v>1521</v>
      </c>
      <c r="C1524" s="6">
        <v>44</v>
      </c>
      <c r="D1524" s="17">
        <v>73.8</v>
      </c>
      <c r="E1524" s="1">
        <f t="shared" si="138"/>
        <v>9.7222222222220642E-2</v>
      </c>
      <c r="F1524">
        <f t="shared" si="139"/>
        <v>163.07909633333259</v>
      </c>
      <c r="G1524">
        <f t="shared" si="140"/>
        <v>686.87922808081157</v>
      </c>
      <c r="I1524">
        <f t="shared" si="141"/>
        <v>5.5555555555555556E-4</v>
      </c>
      <c r="J1524">
        <f t="shared" si="142"/>
        <v>0.22649874490740637</v>
      </c>
      <c r="K1524">
        <f t="shared" si="143"/>
        <v>1.6485101473939479</v>
      </c>
    </row>
    <row r="1525" spans="1:11" x14ac:dyDescent="0.35">
      <c r="A1525" s="6" t="s">
        <v>9</v>
      </c>
      <c r="B1525" s="6">
        <v>1522</v>
      </c>
      <c r="C1525" s="6">
        <v>45</v>
      </c>
      <c r="D1525" s="17">
        <v>74.099999999999994</v>
      </c>
      <c r="E1525" s="1">
        <f t="shared" si="138"/>
        <v>2.7777777777778172E-2</v>
      </c>
      <c r="F1525">
        <f t="shared" si="139"/>
        <v>131.83316408333349</v>
      </c>
      <c r="G1525">
        <f t="shared" si="140"/>
        <v>689.67142006487984</v>
      </c>
      <c r="I1525">
        <f t="shared" si="141"/>
        <v>5.5555555555555556E-4</v>
      </c>
      <c r="J1525">
        <f t="shared" si="142"/>
        <v>0.18310161678240761</v>
      </c>
      <c r="K1525">
        <f t="shared" si="143"/>
        <v>1.6552114081557117</v>
      </c>
    </row>
    <row r="1526" spans="1:11" x14ac:dyDescent="0.35">
      <c r="A1526" s="6" t="s">
        <v>9</v>
      </c>
      <c r="B1526" s="6">
        <v>1523</v>
      </c>
      <c r="C1526" s="6">
        <v>46</v>
      </c>
      <c r="D1526" s="17">
        <v>74</v>
      </c>
      <c r="E1526" s="1">
        <f t="shared" si="138"/>
        <v>-6.9444444444444448E-2</v>
      </c>
      <c r="F1526">
        <f t="shared" si="139"/>
        <v>87.359396296296282</v>
      </c>
      <c r="G1526">
        <f t="shared" si="140"/>
        <v>688.74068940352379</v>
      </c>
      <c r="I1526">
        <f t="shared" si="141"/>
        <v>5.5555555555555556E-4</v>
      </c>
      <c r="J1526">
        <f t="shared" si="142"/>
        <v>0.12133249485596706</v>
      </c>
      <c r="K1526">
        <f t="shared" si="143"/>
        <v>1.6529776545684571</v>
      </c>
    </row>
    <row r="1527" spans="1:11" x14ac:dyDescent="0.35">
      <c r="A1527" s="6" t="s">
        <v>9</v>
      </c>
      <c r="B1527" s="6">
        <v>1524</v>
      </c>
      <c r="C1527" s="6">
        <v>47</v>
      </c>
      <c r="D1527" s="17">
        <v>73.599999999999994</v>
      </c>
      <c r="E1527" s="1">
        <f t="shared" si="138"/>
        <v>-0.20833333333333331</v>
      </c>
      <c r="F1527">
        <f t="shared" si="139"/>
        <v>23.466221629629626</v>
      </c>
      <c r="G1527">
        <f t="shared" si="140"/>
        <v>685.01776675809924</v>
      </c>
      <c r="I1527">
        <f t="shared" si="141"/>
        <v>5.5555555555555556E-4</v>
      </c>
      <c r="J1527">
        <f t="shared" si="142"/>
        <v>3.2591974485596704E-2</v>
      </c>
      <c r="K1527">
        <f t="shared" si="143"/>
        <v>1.6440426402194384</v>
      </c>
    </row>
    <row r="1528" spans="1:11" x14ac:dyDescent="0.35">
      <c r="A1528" s="6" t="s">
        <v>9</v>
      </c>
      <c r="B1528" s="6">
        <v>1525</v>
      </c>
      <c r="C1528" s="6">
        <v>48</v>
      </c>
      <c r="D1528" s="17">
        <v>72.5</v>
      </c>
      <c r="E1528" s="1">
        <f t="shared" si="138"/>
        <v>-0.38888888888888851</v>
      </c>
      <c r="F1528">
        <f t="shared" si="139"/>
        <v>0</v>
      </c>
      <c r="G1528">
        <f t="shared" si="140"/>
        <v>674.779729483182</v>
      </c>
      <c r="I1528">
        <f t="shared" si="141"/>
        <v>5.5555555555555556E-4</v>
      </c>
      <c r="J1528">
        <f t="shared" si="142"/>
        <v>0</v>
      </c>
      <c r="K1528">
        <f t="shared" si="143"/>
        <v>1.6194713507596368</v>
      </c>
    </row>
    <row r="1529" spans="1:11" x14ac:dyDescent="0.35">
      <c r="A1529" s="6" t="s">
        <v>9</v>
      </c>
      <c r="B1529" s="6">
        <v>1526</v>
      </c>
      <c r="C1529" s="6">
        <v>49</v>
      </c>
      <c r="D1529" s="17">
        <v>70.8</v>
      </c>
      <c r="E1529" s="1">
        <f t="shared" si="138"/>
        <v>-0.54166666666666741</v>
      </c>
      <c r="F1529">
        <f t="shared" si="139"/>
        <v>0</v>
      </c>
      <c r="G1529">
        <f t="shared" si="140"/>
        <v>658.9573082401281</v>
      </c>
      <c r="I1529">
        <f t="shared" si="141"/>
        <v>5.5555555555555556E-4</v>
      </c>
      <c r="J1529">
        <f t="shared" si="142"/>
        <v>0</v>
      </c>
      <c r="K1529">
        <f t="shared" si="143"/>
        <v>1.5814975397763074</v>
      </c>
    </row>
    <row r="1530" spans="1:11" x14ac:dyDescent="0.35">
      <c r="A1530" s="6" t="s">
        <v>9</v>
      </c>
      <c r="B1530" s="6">
        <v>1527</v>
      </c>
      <c r="C1530" s="6">
        <v>50</v>
      </c>
      <c r="D1530" s="17">
        <v>68.599999999999994</v>
      </c>
      <c r="E1530" s="1">
        <f t="shared" si="138"/>
        <v>-0.63888888888888806</v>
      </c>
      <c r="F1530">
        <f t="shared" si="139"/>
        <v>0</v>
      </c>
      <c r="G1530">
        <f t="shared" si="140"/>
        <v>638.48123369029361</v>
      </c>
      <c r="I1530">
        <f t="shared" si="141"/>
        <v>5.5555555555555556E-4</v>
      </c>
      <c r="J1530">
        <f t="shared" si="142"/>
        <v>0</v>
      </c>
      <c r="K1530">
        <f t="shared" si="143"/>
        <v>1.5323549608567046</v>
      </c>
    </row>
    <row r="1531" spans="1:11" x14ac:dyDescent="0.35">
      <c r="A1531" s="6" t="s">
        <v>9</v>
      </c>
      <c r="B1531" s="6">
        <v>1528</v>
      </c>
      <c r="C1531" s="6">
        <v>51</v>
      </c>
      <c r="D1531" s="17">
        <v>66.2</v>
      </c>
      <c r="E1531" s="1">
        <f t="shared" si="138"/>
        <v>-0.63888888888888806</v>
      </c>
      <c r="F1531">
        <f t="shared" si="139"/>
        <v>0</v>
      </c>
      <c r="G1531">
        <f t="shared" si="140"/>
        <v>616.1436978177469</v>
      </c>
      <c r="I1531">
        <f t="shared" si="141"/>
        <v>5.5555555555555556E-4</v>
      </c>
      <c r="J1531">
        <f t="shared" si="142"/>
        <v>0</v>
      </c>
      <c r="K1531">
        <f t="shared" si="143"/>
        <v>1.4787448747625924</v>
      </c>
    </row>
    <row r="1532" spans="1:11" x14ac:dyDescent="0.35">
      <c r="A1532" s="6" t="s">
        <v>9</v>
      </c>
      <c r="B1532" s="6">
        <v>1529</v>
      </c>
      <c r="C1532" s="6">
        <v>52</v>
      </c>
      <c r="D1532" s="17">
        <v>64</v>
      </c>
      <c r="E1532" s="1">
        <f t="shared" si="138"/>
        <v>-0.55555555555555558</v>
      </c>
      <c r="F1532">
        <f t="shared" si="139"/>
        <v>0</v>
      </c>
      <c r="G1532">
        <f t="shared" si="140"/>
        <v>595.6676232679124</v>
      </c>
      <c r="I1532">
        <f t="shared" si="141"/>
        <v>5.5555555555555556E-4</v>
      </c>
      <c r="J1532">
        <f t="shared" si="142"/>
        <v>0</v>
      </c>
      <c r="K1532">
        <f t="shared" si="143"/>
        <v>1.4296022958429897</v>
      </c>
    </row>
    <row r="1533" spans="1:11" x14ac:dyDescent="0.35">
      <c r="A1533" s="6" t="s">
        <v>9</v>
      </c>
      <c r="B1533" s="6">
        <v>1530</v>
      </c>
      <c r="C1533" s="6">
        <v>53</v>
      </c>
      <c r="D1533" s="17">
        <v>62.2</v>
      </c>
      <c r="E1533" s="1">
        <f t="shared" si="138"/>
        <v>-0.43055555555555575</v>
      </c>
      <c r="F1533">
        <f t="shared" si="139"/>
        <v>0</v>
      </c>
      <c r="G1533">
        <f t="shared" si="140"/>
        <v>578.91447136350234</v>
      </c>
      <c r="I1533">
        <f t="shared" si="141"/>
        <v>5.5555555555555556E-4</v>
      </c>
      <c r="J1533">
        <f t="shared" si="142"/>
        <v>0</v>
      </c>
      <c r="K1533">
        <f t="shared" si="143"/>
        <v>1.3893947312724058</v>
      </c>
    </row>
    <row r="1534" spans="1:11" x14ac:dyDescent="0.35">
      <c r="A1534" s="6" t="s">
        <v>9</v>
      </c>
      <c r="B1534" s="6">
        <v>1531</v>
      </c>
      <c r="C1534" s="6">
        <v>54</v>
      </c>
      <c r="D1534" s="17">
        <v>60.9</v>
      </c>
      <c r="E1534" s="1">
        <f t="shared" si="138"/>
        <v>-0.27777777777777779</v>
      </c>
      <c r="F1534">
        <f t="shared" si="139"/>
        <v>0</v>
      </c>
      <c r="G1534">
        <f t="shared" si="140"/>
        <v>566.81497276587288</v>
      </c>
      <c r="I1534">
        <f t="shared" si="141"/>
        <v>5.5555555555555556E-4</v>
      </c>
      <c r="J1534">
        <f t="shared" si="142"/>
        <v>0</v>
      </c>
      <c r="K1534">
        <f t="shared" si="143"/>
        <v>1.3603559346380949</v>
      </c>
    </row>
    <row r="1535" spans="1:11" x14ac:dyDescent="0.35">
      <c r="A1535" s="6" t="s">
        <v>9</v>
      </c>
      <c r="B1535" s="6">
        <v>1532</v>
      </c>
      <c r="C1535" s="6">
        <v>55</v>
      </c>
      <c r="D1535" s="17">
        <v>60.2</v>
      </c>
      <c r="E1535" s="1">
        <f t="shared" si="138"/>
        <v>-0.12499999999999981</v>
      </c>
      <c r="F1535">
        <f t="shared" si="139"/>
        <v>44.465023740740826</v>
      </c>
      <c r="G1535">
        <f t="shared" si="140"/>
        <v>560.29985813638018</v>
      </c>
      <c r="I1535">
        <f t="shared" si="141"/>
        <v>5.5555555555555556E-4</v>
      </c>
      <c r="J1535">
        <f t="shared" si="142"/>
        <v>6.1756977417695591E-2</v>
      </c>
      <c r="K1535">
        <f t="shared" si="143"/>
        <v>1.3447196595273125</v>
      </c>
    </row>
    <row r="1536" spans="1:11" x14ac:dyDescent="0.35">
      <c r="A1536" s="6" t="s">
        <v>9</v>
      </c>
      <c r="B1536" s="6">
        <v>1533</v>
      </c>
      <c r="C1536" s="6">
        <v>56</v>
      </c>
      <c r="D1536" s="17">
        <v>60</v>
      </c>
      <c r="E1536" s="1">
        <f t="shared" si="138"/>
        <v>2.7777777777777186E-2</v>
      </c>
      <c r="F1536">
        <f t="shared" si="139"/>
        <v>113.90373333333307</v>
      </c>
      <c r="G1536">
        <f t="shared" si="140"/>
        <v>558.43839681366785</v>
      </c>
      <c r="I1536">
        <f t="shared" si="141"/>
        <v>5.5555555555555556E-4</v>
      </c>
      <c r="J1536">
        <f t="shared" si="142"/>
        <v>0.15819962962962925</v>
      </c>
      <c r="K1536">
        <f t="shared" si="143"/>
        <v>1.3402521523528028</v>
      </c>
    </row>
    <row r="1537" spans="1:11" x14ac:dyDescent="0.35">
      <c r="A1537" s="6" t="s">
        <v>9</v>
      </c>
      <c r="B1537" s="6">
        <v>1534</v>
      </c>
      <c r="C1537" s="6">
        <v>57</v>
      </c>
      <c r="D1537" s="17">
        <v>60.4</v>
      </c>
      <c r="E1537" s="1">
        <f t="shared" si="138"/>
        <v>0.19444444444444425</v>
      </c>
      <c r="F1537">
        <f t="shared" si="139"/>
        <v>190.36040607407398</v>
      </c>
      <c r="G1537">
        <f t="shared" si="140"/>
        <v>562.1613194590924</v>
      </c>
      <c r="I1537">
        <f t="shared" si="141"/>
        <v>5.5555555555555556E-4</v>
      </c>
      <c r="J1537">
        <f t="shared" si="142"/>
        <v>0.26438945288065829</v>
      </c>
      <c r="K1537">
        <f t="shared" si="143"/>
        <v>1.3491871667018218</v>
      </c>
    </row>
    <row r="1538" spans="1:11" x14ac:dyDescent="0.35">
      <c r="A1538" s="6" t="s">
        <v>9</v>
      </c>
      <c r="B1538" s="6">
        <v>1535</v>
      </c>
      <c r="C1538" s="6">
        <v>58</v>
      </c>
      <c r="D1538" s="17">
        <v>61.4</v>
      </c>
      <c r="E1538" s="1">
        <f t="shared" si="138"/>
        <v>0.38888888888888945</v>
      </c>
      <c r="F1538">
        <f t="shared" si="139"/>
        <v>280.18202996296321</v>
      </c>
      <c r="G1538">
        <f t="shared" si="140"/>
        <v>571.46862607265348</v>
      </c>
      <c r="I1538">
        <f t="shared" si="141"/>
        <v>5.5555555555555556E-4</v>
      </c>
      <c r="J1538">
        <f t="shared" si="142"/>
        <v>0.38914170828189337</v>
      </c>
      <c r="K1538">
        <f t="shared" si="143"/>
        <v>1.3715247025743684</v>
      </c>
    </row>
    <row r="1539" spans="1:11" x14ac:dyDescent="0.35">
      <c r="A1539" s="6" t="s">
        <v>9</v>
      </c>
      <c r="B1539" s="6">
        <v>1536</v>
      </c>
      <c r="C1539" s="6">
        <v>59</v>
      </c>
      <c r="D1539" s="17">
        <v>63.2</v>
      </c>
      <c r="E1539" s="1">
        <f t="shared" si="138"/>
        <v>0.5833333333333327</v>
      </c>
      <c r="F1539">
        <f t="shared" si="139"/>
        <v>370.97541096296266</v>
      </c>
      <c r="G1539">
        <f t="shared" si="140"/>
        <v>588.22177797706354</v>
      </c>
      <c r="I1539">
        <f t="shared" si="141"/>
        <v>5.5555555555555556E-4</v>
      </c>
      <c r="J1539">
        <f t="shared" si="142"/>
        <v>0.51524362633744814</v>
      </c>
      <c r="K1539">
        <f t="shared" si="143"/>
        <v>1.4117322671449526</v>
      </c>
    </row>
    <row r="1540" spans="1:11" x14ac:dyDescent="0.35">
      <c r="A1540" s="6" t="s">
        <v>9</v>
      </c>
      <c r="B1540" s="6">
        <v>1537</v>
      </c>
      <c r="C1540" s="6">
        <v>60</v>
      </c>
      <c r="D1540" s="17">
        <v>65.599999999999994</v>
      </c>
      <c r="E1540" s="1">
        <f t="shared" si="138"/>
        <v>0.72222222222222265</v>
      </c>
      <c r="F1540">
        <f t="shared" si="139"/>
        <v>437.23994607407428</v>
      </c>
      <c r="G1540">
        <f t="shared" si="140"/>
        <v>610.55931384961013</v>
      </c>
      <c r="I1540">
        <f t="shared" si="141"/>
        <v>5.5555555555555556E-4</v>
      </c>
      <c r="J1540">
        <f t="shared" si="142"/>
        <v>0.60727770288065874</v>
      </c>
      <c r="K1540">
        <f t="shared" si="143"/>
        <v>1.4653423532390644</v>
      </c>
    </row>
    <row r="1541" spans="1:11" x14ac:dyDescent="0.35">
      <c r="A1541" s="6" t="s">
        <v>9</v>
      </c>
      <c r="B1541" s="6">
        <v>1538</v>
      </c>
      <c r="C1541" s="6">
        <v>61</v>
      </c>
      <c r="D1541" s="17">
        <v>68.400000000000006</v>
      </c>
      <c r="E1541" s="1">
        <f t="shared" ref="E1541:E1604" si="144">($D1542-$D1540)/2/3.6</f>
        <v>0.83333333333333326</v>
      </c>
      <c r="F1541">
        <f t="shared" ref="F1541:F1604" si="145">IF(D1541=0,0,MAX(0,0.285*(1600*E1541 + 1600*9.81*0.015 + 0.5*1.225*0.32*2.2*(D1541/3.6)^2)))</f>
        <v>491.46441199999992</v>
      </c>
      <c r="G1541">
        <f t="shared" ref="G1541:G1604" si="146">60*D1541/(2*PI()*3.6*0.285)</f>
        <v>636.61977236758139</v>
      </c>
      <c r="I1541">
        <f t="shared" ref="I1541:I1604" si="147">1/1800</f>
        <v>5.5555555555555556E-4</v>
      </c>
      <c r="J1541">
        <f t="shared" ref="J1541:J1604" si="148">F1541/(M$3*3.6)</f>
        <v>0.68258946111111096</v>
      </c>
      <c r="K1541">
        <f t="shared" ref="K1541:K1604" si="149">G1541*3.6/N$3</f>
        <v>1.5278874536821954</v>
      </c>
    </row>
    <row r="1542" spans="1:11" x14ac:dyDescent="0.35">
      <c r="A1542" s="6" t="s">
        <v>9</v>
      </c>
      <c r="B1542" s="6">
        <v>1539</v>
      </c>
      <c r="C1542" s="6">
        <v>62</v>
      </c>
      <c r="D1542" s="17">
        <v>71.599999999999994</v>
      </c>
      <c r="E1542" s="1">
        <f t="shared" si="144"/>
        <v>0.90277777777777779</v>
      </c>
      <c r="F1542">
        <f t="shared" si="145"/>
        <v>527.37919718518515</v>
      </c>
      <c r="G1542">
        <f t="shared" si="146"/>
        <v>666.40315353097708</v>
      </c>
      <c r="I1542">
        <f t="shared" si="147"/>
        <v>5.5555555555555556E-4</v>
      </c>
      <c r="J1542">
        <f t="shared" si="148"/>
        <v>0.73247110720164599</v>
      </c>
      <c r="K1542">
        <f t="shared" si="149"/>
        <v>1.5993675684743451</v>
      </c>
    </row>
    <row r="1543" spans="1:11" x14ac:dyDescent="0.35">
      <c r="A1543" s="6" t="s">
        <v>9</v>
      </c>
      <c r="B1543" s="6">
        <v>1540</v>
      </c>
      <c r="C1543" s="6">
        <v>63</v>
      </c>
      <c r="D1543" s="17">
        <v>74.900000000000006</v>
      </c>
      <c r="E1543" s="1">
        <f t="shared" si="144"/>
        <v>0.94444444444444597</v>
      </c>
      <c r="F1543">
        <f t="shared" si="145"/>
        <v>550.96346704629696</v>
      </c>
      <c r="G1543">
        <f t="shared" si="146"/>
        <v>697.11726535572882</v>
      </c>
      <c r="I1543">
        <f t="shared" si="147"/>
        <v>5.5555555555555556E-4</v>
      </c>
      <c r="J1543">
        <f t="shared" si="148"/>
        <v>0.76522703756430133</v>
      </c>
      <c r="K1543">
        <f t="shared" si="149"/>
        <v>1.6730814368537492</v>
      </c>
    </row>
    <row r="1544" spans="1:11" x14ac:dyDescent="0.35">
      <c r="A1544" s="6" t="s">
        <v>9</v>
      </c>
      <c r="B1544" s="6">
        <v>1541</v>
      </c>
      <c r="C1544" s="6">
        <v>64</v>
      </c>
      <c r="D1544" s="17">
        <v>78.400000000000006</v>
      </c>
      <c r="E1544" s="1">
        <f t="shared" si="144"/>
        <v>0.95833333333333215</v>
      </c>
      <c r="F1544">
        <f t="shared" si="145"/>
        <v>562.38458607407347</v>
      </c>
      <c r="G1544">
        <f t="shared" si="146"/>
        <v>729.69283850319277</v>
      </c>
      <c r="I1544">
        <f t="shared" si="147"/>
        <v>5.5555555555555556E-4</v>
      </c>
      <c r="J1544">
        <f t="shared" si="148"/>
        <v>0.7810897028806576</v>
      </c>
      <c r="K1544">
        <f t="shared" si="149"/>
        <v>1.7512628124076628</v>
      </c>
    </row>
    <row r="1545" spans="1:11" x14ac:dyDescent="0.35">
      <c r="A1545" s="6" t="s">
        <v>9</v>
      </c>
      <c r="B1545" s="6">
        <v>1542</v>
      </c>
      <c r="C1545" s="6">
        <v>65</v>
      </c>
      <c r="D1545" s="17">
        <v>81.8</v>
      </c>
      <c r="E1545" s="1">
        <f t="shared" si="144"/>
        <v>0.90277777777777779</v>
      </c>
      <c r="F1545">
        <f t="shared" si="145"/>
        <v>542.21613040740738</v>
      </c>
      <c r="G1545">
        <f t="shared" si="146"/>
        <v>761.33768098930057</v>
      </c>
      <c r="I1545">
        <f t="shared" si="147"/>
        <v>5.5555555555555556E-4</v>
      </c>
      <c r="J1545">
        <f t="shared" si="148"/>
        <v>0.75307795889917695</v>
      </c>
      <c r="K1545">
        <f t="shared" si="149"/>
        <v>1.8272104343743212</v>
      </c>
    </row>
    <row r="1546" spans="1:11" x14ac:dyDescent="0.35">
      <c r="A1546" s="6" t="s">
        <v>9</v>
      </c>
      <c r="B1546" s="6">
        <v>1543</v>
      </c>
      <c r="C1546" s="6">
        <v>66</v>
      </c>
      <c r="D1546" s="17">
        <v>84.9</v>
      </c>
      <c r="E1546" s="1">
        <f t="shared" si="144"/>
        <v>0.7777777777777789</v>
      </c>
      <c r="F1546">
        <f t="shared" si="145"/>
        <v>490.11635408333382</v>
      </c>
      <c r="G1546">
        <f t="shared" si="146"/>
        <v>790.19033149134009</v>
      </c>
      <c r="I1546">
        <f t="shared" si="147"/>
        <v>5.5555555555555556E-4</v>
      </c>
      <c r="J1546">
        <f t="shared" si="148"/>
        <v>0.68071715844907477</v>
      </c>
      <c r="K1546">
        <f t="shared" si="149"/>
        <v>1.8964567955792162</v>
      </c>
    </row>
    <row r="1547" spans="1:11" x14ac:dyDescent="0.35">
      <c r="A1547" s="6" t="s">
        <v>9</v>
      </c>
      <c r="B1547" s="6">
        <v>1544</v>
      </c>
      <c r="C1547" s="6">
        <v>67</v>
      </c>
      <c r="D1547" s="17">
        <v>87.4</v>
      </c>
      <c r="E1547" s="1">
        <f t="shared" si="144"/>
        <v>0.56944444444444364</v>
      </c>
      <c r="F1547">
        <f t="shared" si="145"/>
        <v>399.20090107407367</v>
      </c>
      <c r="G1547">
        <f t="shared" si="146"/>
        <v>813.45859802524296</v>
      </c>
      <c r="I1547">
        <f t="shared" si="147"/>
        <v>5.5555555555555556E-4</v>
      </c>
      <c r="J1547">
        <f t="shared" si="148"/>
        <v>0.5544456959362134</v>
      </c>
      <c r="K1547">
        <f t="shared" si="149"/>
        <v>1.9523006352605832</v>
      </c>
    </row>
    <row r="1548" spans="1:11" x14ac:dyDescent="0.35">
      <c r="A1548" s="6" t="s">
        <v>9</v>
      </c>
      <c r="B1548" s="6">
        <v>1545</v>
      </c>
      <c r="C1548" s="6">
        <v>68</v>
      </c>
      <c r="D1548" s="17">
        <v>89</v>
      </c>
      <c r="E1548" s="1">
        <f t="shared" si="144"/>
        <v>0.36111111111111033</v>
      </c>
      <c r="F1548">
        <f t="shared" si="145"/>
        <v>306.87721574074033</v>
      </c>
      <c r="G1548">
        <f t="shared" si="146"/>
        <v>828.35028860694069</v>
      </c>
      <c r="I1548">
        <f t="shared" si="147"/>
        <v>5.5555555555555556E-4</v>
      </c>
      <c r="J1548">
        <f t="shared" si="148"/>
        <v>0.42621835519547269</v>
      </c>
      <c r="K1548">
        <f t="shared" si="149"/>
        <v>1.9880406926566578</v>
      </c>
    </row>
    <row r="1549" spans="1:11" x14ac:dyDescent="0.35">
      <c r="A1549" s="6" t="s">
        <v>9</v>
      </c>
      <c r="B1549" s="6">
        <v>1546</v>
      </c>
      <c r="C1549" s="6">
        <v>69</v>
      </c>
      <c r="D1549" s="17">
        <v>90</v>
      </c>
      <c r="E1549" s="1">
        <f t="shared" si="144"/>
        <v>0.22222222222222143</v>
      </c>
      <c r="F1549">
        <f t="shared" si="145"/>
        <v>245.24123333333296</v>
      </c>
      <c r="G1549">
        <f t="shared" si="146"/>
        <v>837.65759522050189</v>
      </c>
      <c r="I1549">
        <f t="shared" si="147"/>
        <v>5.5555555555555556E-4</v>
      </c>
      <c r="J1549">
        <f t="shared" si="148"/>
        <v>0.34061282407407356</v>
      </c>
      <c r="K1549">
        <f t="shared" si="149"/>
        <v>2.0103782285292047</v>
      </c>
    </row>
    <row r="1550" spans="1:11" x14ac:dyDescent="0.35">
      <c r="A1550" s="6" t="s">
        <v>9</v>
      </c>
      <c r="B1550" s="6">
        <v>1547</v>
      </c>
      <c r="C1550" s="6">
        <v>70</v>
      </c>
      <c r="D1550" s="17">
        <v>90.6</v>
      </c>
      <c r="E1550" s="1">
        <f t="shared" si="144"/>
        <v>0.1388888888888889</v>
      </c>
      <c r="F1550">
        <f t="shared" si="145"/>
        <v>208.26874699999996</v>
      </c>
      <c r="G1550">
        <f t="shared" si="146"/>
        <v>843.24197918863854</v>
      </c>
      <c r="I1550">
        <f t="shared" si="147"/>
        <v>5.5555555555555556E-4</v>
      </c>
      <c r="J1550">
        <f t="shared" si="148"/>
        <v>0.28926214861111105</v>
      </c>
      <c r="K1550">
        <f t="shared" si="149"/>
        <v>2.0237807500527323</v>
      </c>
    </row>
    <row r="1551" spans="1:11" x14ac:dyDescent="0.35">
      <c r="A1551" s="6" t="s">
        <v>9</v>
      </c>
      <c r="B1551" s="6">
        <v>1548</v>
      </c>
      <c r="C1551" s="6">
        <v>71</v>
      </c>
      <c r="D1551" s="17">
        <v>91</v>
      </c>
      <c r="E1551" s="1">
        <f t="shared" si="144"/>
        <v>0.12500000000000078</v>
      </c>
      <c r="F1551">
        <f t="shared" si="145"/>
        <v>202.62421574074108</v>
      </c>
      <c r="G1551">
        <f t="shared" si="146"/>
        <v>846.96490183406297</v>
      </c>
      <c r="I1551">
        <f t="shared" si="147"/>
        <v>5.5555555555555556E-4</v>
      </c>
      <c r="J1551">
        <f t="shared" si="148"/>
        <v>0.2814225218621404</v>
      </c>
      <c r="K1551">
        <f t="shared" si="149"/>
        <v>2.0327157644017513</v>
      </c>
    </row>
    <row r="1552" spans="1:11" x14ac:dyDescent="0.35">
      <c r="A1552" s="6" t="s">
        <v>9</v>
      </c>
      <c r="B1552" s="6">
        <v>1549</v>
      </c>
      <c r="C1552" s="6">
        <v>72</v>
      </c>
      <c r="D1552" s="17">
        <v>91.5</v>
      </c>
      <c r="E1552" s="1">
        <f t="shared" si="144"/>
        <v>0.1388888888888889</v>
      </c>
      <c r="F1552">
        <f t="shared" si="145"/>
        <v>209.82281874999998</v>
      </c>
      <c r="G1552">
        <f t="shared" si="146"/>
        <v>851.61855514084357</v>
      </c>
      <c r="I1552">
        <f t="shared" si="147"/>
        <v>5.5555555555555556E-4</v>
      </c>
      <c r="J1552">
        <f t="shared" si="148"/>
        <v>0.29142058159722217</v>
      </c>
      <c r="K1552">
        <f t="shared" si="149"/>
        <v>2.0438845323380246</v>
      </c>
    </row>
    <row r="1553" spans="1:11" x14ac:dyDescent="0.35">
      <c r="A1553" s="6" t="s">
        <v>9</v>
      </c>
      <c r="B1553" s="6">
        <v>1550</v>
      </c>
      <c r="C1553" s="6">
        <v>73</v>
      </c>
      <c r="D1553" s="17">
        <v>92</v>
      </c>
      <c r="E1553" s="1">
        <f t="shared" si="144"/>
        <v>0.16666666666666705</v>
      </c>
      <c r="F1553">
        <f t="shared" si="145"/>
        <v>223.35949629629644</v>
      </c>
      <c r="G1553">
        <f t="shared" si="146"/>
        <v>856.27220844762417</v>
      </c>
      <c r="I1553">
        <f t="shared" si="147"/>
        <v>5.5555555555555556E-4</v>
      </c>
      <c r="J1553">
        <f t="shared" si="148"/>
        <v>0.31022152263374508</v>
      </c>
      <c r="K1553">
        <f t="shared" si="149"/>
        <v>2.0550533002742979</v>
      </c>
    </row>
    <row r="1554" spans="1:11" x14ac:dyDescent="0.35">
      <c r="A1554" s="6" t="s">
        <v>9</v>
      </c>
      <c r="B1554" s="6">
        <v>1551</v>
      </c>
      <c r="C1554" s="6">
        <v>74</v>
      </c>
      <c r="D1554" s="17">
        <v>92.7</v>
      </c>
      <c r="E1554" s="1">
        <f t="shared" si="144"/>
        <v>0.19444444444444522</v>
      </c>
      <c r="F1554">
        <f t="shared" si="145"/>
        <v>237.25214341666697</v>
      </c>
      <c r="G1554">
        <f t="shared" si="146"/>
        <v>862.78732307711687</v>
      </c>
      <c r="I1554">
        <f t="shared" si="147"/>
        <v>5.5555555555555556E-4</v>
      </c>
      <c r="J1554">
        <f t="shared" si="148"/>
        <v>0.32951686585648188</v>
      </c>
      <c r="K1554">
        <f t="shared" si="149"/>
        <v>2.0706895753850802</v>
      </c>
    </row>
    <row r="1555" spans="1:11" x14ac:dyDescent="0.35">
      <c r="A1555" s="6" t="s">
        <v>9</v>
      </c>
      <c r="B1555" s="6">
        <v>1552</v>
      </c>
      <c r="C1555" s="6">
        <v>75</v>
      </c>
      <c r="D1555" s="17">
        <v>93.4</v>
      </c>
      <c r="E1555" s="1">
        <f t="shared" si="144"/>
        <v>0.20833333333333331</v>
      </c>
      <c r="F1555">
        <f t="shared" si="145"/>
        <v>244.82074996296296</v>
      </c>
      <c r="G1555">
        <f t="shared" si="146"/>
        <v>869.30243770660968</v>
      </c>
      <c r="I1555">
        <f t="shared" si="147"/>
        <v>5.5555555555555556E-4</v>
      </c>
      <c r="J1555">
        <f t="shared" si="148"/>
        <v>0.34002881939300411</v>
      </c>
      <c r="K1555">
        <f t="shared" si="149"/>
        <v>2.0863258504958635</v>
      </c>
    </row>
    <row r="1556" spans="1:11" x14ac:dyDescent="0.35">
      <c r="A1556" s="6" t="s">
        <v>9</v>
      </c>
      <c r="B1556" s="6">
        <v>1553</v>
      </c>
      <c r="C1556" s="6">
        <v>76</v>
      </c>
      <c r="D1556" s="17">
        <v>94.2</v>
      </c>
      <c r="E1556" s="1">
        <f t="shared" si="144"/>
        <v>0.20833333333333331</v>
      </c>
      <c r="F1556">
        <f t="shared" si="145"/>
        <v>246.24386966666663</v>
      </c>
      <c r="G1556">
        <f t="shared" si="146"/>
        <v>876.74828299745866</v>
      </c>
      <c r="I1556">
        <f t="shared" si="147"/>
        <v>5.5555555555555556E-4</v>
      </c>
      <c r="J1556">
        <f t="shared" si="148"/>
        <v>0.342005374537037</v>
      </c>
      <c r="K1556">
        <f t="shared" si="149"/>
        <v>2.1041958791939006</v>
      </c>
    </row>
    <row r="1557" spans="1:11" x14ac:dyDescent="0.35">
      <c r="A1557" s="6" t="s">
        <v>9</v>
      </c>
      <c r="B1557" s="6">
        <v>1554</v>
      </c>
      <c r="C1557" s="6">
        <v>77</v>
      </c>
      <c r="D1557" s="17">
        <v>94.9</v>
      </c>
      <c r="E1557" s="1">
        <f t="shared" si="144"/>
        <v>0.20833333333333331</v>
      </c>
      <c r="F1557">
        <f t="shared" si="145"/>
        <v>247.49905593518514</v>
      </c>
      <c r="G1557">
        <f t="shared" si="146"/>
        <v>883.26339762695136</v>
      </c>
      <c r="I1557">
        <f t="shared" si="147"/>
        <v>5.5555555555555556E-4</v>
      </c>
      <c r="J1557">
        <f t="shared" si="148"/>
        <v>0.34374868879886827</v>
      </c>
      <c r="K1557">
        <f t="shared" si="149"/>
        <v>2.119832154304683</v>
      </c>
    </row>
    <row r="1558" spans="1:11" x14ac:dyDescent="0.35">
      <c r="A1558" s="6" t="s">
        <v>9</v>
      </c>
      <c r="B1558" s="6">
        <v>1555</v>
      </c>
      <c r="C1558" s="6">
        <v>78</v>
      </c>
      <c r="D1558" s="17">
        <v>95.7</v>
      </c>
      <c r="E1558" s="1">
        <f t="shared" si="144"/>
        <v>0.23611111111110952</v>
      </c>
      <c r="F1558">
        <f t="shared" si="145"/>
        <v>261.61160008333258</v>
      </c>
      <c r="G1558">
        <f t="shared" si="146"/>
        <v>890.70924291780034</v>
      </c>
      <c r="I1558">
        <f t="shared" si="147"/>
        <v>5.5555555555555556E-4</v>
      </c>
      <c r="J1558">
        <f t="shared" si="148"/>
        <v>0.36334944456018414</v>
      </c>
      <c r="K1558">
        <f t="shared" si="149"/>
        <v>2.137702183002721</v>
      </c>
    </row>
    <row r="1559" spans="1:11" x14ac:dyDescent="0.35">
      <c r="A1559" s="6" t="s">
        <v>9</v>
      </c>
      <c r="B1559" s="6">
        <v>1556</v>
      </c>
      <c r="C1559" s="6">
        <v>79</v>
      </c>
      <c r="D1559" s="17">
        <v>96.6</v>
      </c>
      <c r="E1559" s="1">
        <f t="shared" si="144"/>
        <v>0.27777777777777779</v>
      </c>
      <c r="F1559">
        <f t="shared" si="145"/>
        <v>282.25272033333329</v>
      </c>
      <c r="G1559">
        <f t="shared" si="146"/>
        <v>899.08581887000537</v>
      </c>
      <c r="I1559">
        <f t="shared" si="147"/>
        <v>5.5555555555555556E-4</v>
      </c>
      <c r="J1559">
        <f t="shared" si="148"/>
        <v>0.39201766712962954</v>
      </c>
      <c r="K1559">
        <f t="shared" si="149"/>
        <v>2.1578059652880128</v>
      </c>
    </row>
    <row r="1560" spans="1:11" x14ac:dyDescent="0.35">
      <c r="A1560" s="6" t="s">
        <v>9</v>
      </c>
      <c r="B1560" s="6">
        <v>1557</v>
      </c>
      <c r="C1560" s="6">
        <v>80</v>
      </c>
      <c r="D1560" s="17">
        <v>97.7</v>
      </c>
      <c r="E1560" s="1">
        <f t="shared" si="144"/>
        <v>0.31944444444444603</v>
      </c>
      <c r="F1560">
        <f t="shared" si="145"/>
        <v>303.27939526851924</v>
      </c>
      <c r="G1560">
        <f t="shared" si="146"/>
        <v>909.32385614492262</v>
      </c>
      <c r="I1560">
        <f t="shared" si="147"/>
        <v>5.5555555555555556E-4</v>
      </c>
      <c r="J1560">
        <f t="shared" si="148"/>
        <v>0.42122138231738782</v>
      </c>
      <c r="K1560">
        <f t="shared" si="149"/>
        <v>2.1823772547478146</v>
      </c>
    </row>
    <row r="1561" spans="1:11" x14ac:dyDescent="0.35">
      <c r="A1561" s="6" t="s">
        <v>9</v>
      </c>
      <c r="B1561" s="6">
        <v>1558</v>
      </c>
      <c r="C1561" s="6">
        <v>81</v>
      </c>
      <c r="D1561" s="17">
        <v>98.9</v>
      </c>
      <c r="E1561" s="1">
        <f t="shared" si="144"/>
        <v>0.37500000000000039</v>
      </c>
      <c r="F1561">
        <f t="shared" si="145"/>
        <v>330.84981815740747</v>
      </c>
      <c r="G1561">
        <f t="shared" si="146"/>
        <v>920.49262408119591</v>
      </c>
      <c r="I1561">
        <f t="shared" si="147"/>
        <v>5.5555555555555556E-4</v>
      </c>
      <c r="J1561">
        <f t="shared" si="148"/>
        <v>0.45951363632973258</v>
      </c>
      <c r="K1561">
        <f t="shared" si="149"/>
        <v>2.2091822977948703</v>
      </c>
    </row>
    <row r="1562" spans="1:11" x14ac:dyDescent="0.35">
      <c r="A1562" s="6" t="s">
        <v>9</v>
      </c>
      <c r="B1562" s="6">
        <v>1559</v>
      </c>
      <c r="C1562" s="6">
        <v>82</v>
      </c>
      <c r="D1562" s="17">
        <v>100.4</v>
      </c>
      <c r="E1562" s="1">
        <f t="shared" si="144"/>
        <v>0.43055555555555475</v>
      </c>
      <c r="F1562">
        <f t="shared" si="145"/>
        <v>359.01791718518479</v>
      </c>
      <c r="G1562">
        <f t="shared" si="146"/>
        <v>934.45358400153759</v>
      </c>
      <c r="I1562">
        <f t="shared" si="147"/>
        <v>5.5555555555555556E-4</v>
      </c>
      <c r="J1562">
        <f t="shared" si="148"/>
        <v>0.49863599609053444</v>
      </c>
      <c r="K1562">
        <f t="shared" si="149"/>
        <v>2.2426886016036902</v>
      </c>
    </row>
    <row r="1563" spans="1:11" x14ac:dyDescent="0.35">
      <c r="A1563" s="6" t="s">
        <v>9</v>
      </c>
      <c r="B1563" s="6">
        <v>1560</v>
      </c>
      <c r="C1563" s="6">
        <v>83</v>
      </c>
      <c r="D1563" s="17">
        <v>102</v>
      </c>
      <c r="E1563" s="1">
        <f t="shared" si="144"/>
        <v>0.44444444444444287</v>
      </c>
      <c r="F1563">
        <f t="shared" si="145"/>
        <v>368.42203333333259</v>
      </c>
      <c r="G1563">
        <f t="shared" si="146"/>
        <v>949.34527458323544</v>
      </c>
      <c r="I1563">
        <f t="shared" si="147"/>
        <v>5.5555555555555556E-4</v>
      </c>
      <c r="J1563">
        <f t="shared" si="148"/>
        <v>0.51169726851851749</v>
      </c>
      <c r="K1563">
        <f t="shared" si="149"/>
        <v>2.2784286589997653</v>
      </c>
    </row>
    <row r="1564" spans="1:11" x14ac:dyDescent="0.35">
      <c r="A1564" s="6" t="s">
        <v>9</v>
      </c>
      <c r="B1564" s="6">
        <v>1561</v>
      </c>
      <c r="C1564" s="6">
        <v>84</v>
      </c>
      <c r="D1564" s="17">
        <v>103.6</v>
      </c>
      <c r="E1564" s="1">
        <f t="shared" si="144"/>
        <v>0.44444444444444481</v>
      </c>
      <c r="F1564">
        <f t="shared" si="145"/>
        <v>371.54136607407412</v>
      </c>
      <c r="G1564">
        <f t="shared" si="146"/>
        <v>964.23696516493328</v>
      </c>
      <c r="I1564">
        <f t="shared" si="147"/>
        <v>5.5555555555555556E-4</v>
      </c>
      <c r="J1564">
        <f t="shared" si="148"/>
        <v>0.51602967510288067</v>
      </c>
      <c r="K1564">
        <f t="shared" si="149"/>
        <v>2.31416871639584</v>
      </c>
    </row>
    <row r="1565" spans="1:11" x14ac:dyDescent="0.35">
      <c r="A1565" s="6" t="s">
        <v>9</v>
      </c>
      <c r="B1565" s="6">
        <v>1562</v>
      </c>
      <c r="C1565" s="6">
        <v>85</v>
      </c>
      <c r="D1565" s="17">
        <v>105.2</v>
      </c>
      <c r="E1565" s="1">
        <f t="shared" si="144"/>
        <v>0.44444444444444481</v>
      </c>
      <c r="F1565">
        <f t="shared" si="145"/>
        <v>374.70924874074086</v>
      </c>
      <c r="G1565">
        <f t="shared" si="146"/>
        <v>979.12865574663101</v>
      </c>
      <c r="I1565">
        <f t="shared" si="147"/>
        <v>5.5555555555555556E-4</v>
      </c>
      <c r="J1565">
        <f t="shared" si="148"/>
        <v>0.52042951213991784</v>
      </c>
      <c r="K1565">
        <f t="shared" si="149"/>
        <v>2.3499087737919142</v>
      </c>
    </row>
    <row r="1566" spans="1:11" x14ac:dyDescent="0.35">
      <c r="A1566" s="6" t="s">
        <v>9</v>
      </c>
      <c r="B1566" s="6">
        <v>1563</v>
      </c>
      <c r="C1566" s="6">
        <v>86</v>
      </c>
      <c r="D1566" s="17">
        <v>106.8</v>
      </c>
      <c r="E1566" s="1">
        <f t="shared" si="144"/>
        <v>0.45833333333333293</v>
      </c>
      <c r="F1566">
        <f t="shared" si="145"/>
        <v>384.25901466666636</v>
      </c>
      <c r="G1566">
        <f t="shared" si="146"/>
        <v>994.02034632832886</v>
      </c>
      <c r="I1566">
        <f t="shared" si="147"/>
        <v>5.5555555555555556E-4</v>
      </c>
      <c r="J1566">
        <f t="shared" si="148"/>
        <v>0.53369307592592552</v>
      </c>
      <c r="K1566">
        <f t="shared" si="149"/>
        <v>2.3856488311879893</v>
      </c>
    </row>
    <row r="1567" spans="1:11" x14ac:dyDescent="0.35">
      <c r="A1567" s="6" t="s">
        <v>9</v>
      </c>
      <c r="B1567" s="6">
        <v>1564</v>
      </c>
      <c r="C1567" s="6">
        <v>87</v>
      </c>
      <c r="D1567" s="17">
        <v>108.5</v>
      </c>
      <c r="E1567" s="1">
        <f t="shared" si="144"/>
        <v>0.47222222222222299</v>
      </c>
      <c r="F1567">
        <f t="shared" si="145"/>
        <v>394.06300393518552</v>
      </c>
      <c r="G1567">
        <f t="shared" si="146"/>
        <v>1009.8427675713828</v>
      </c>
      <c r="I1567">
        <f t="shared" si="147"/>
        <v>5.5555555555555556E-4</v>
      </c>
      <c r="J1567">
        <f t="shared" si="148"/>
        <v>0.54730972768775765</v>
      </c>
      <c r="K1567">
        <f t="shared" si="149"/>
        <v>2.4236226421713187</v>
      </c>
    </row>
    <row r="1568" spans="1:11" x14ac:dyDescent="0.35">
      <c r="A1568" s="6" t="s">
        <v>9</v>
      </c>
      <c r="B1568" s="6">
        <v>1565</v>
      </c>
      <c r="C1568" s="6">
        <v>88</v>
      </c>
      <c r="D1568" s="17">
        <v>110.2</v>
      </c>
      <c r="E1568" s="1">
        <f t="shared" si="144"/>
        <v>0.47222222222222299</v>
      </c>
      <c r="F1568">
        <f t="shared" si="145"/>
        <v>397.58846818518549</v>
      </c>
      <c r="G1568">
        <f t="shared" si="146"/>
        <v>1025.6651888144368</v>
      </c>
      <c r="I1568">
        <f t="shared" si="147"/>
        <v>5.5555555555555556E-4</v>
      </c>
      <c r="J1568">
        <f t="shared" si="148"/>
        <v>0.55220620581275759</v>
      </c>
      <c r="K1568">
        <f t="shared" si="149"/>
        <v>2.4615964531546481</v>
      </c>
    </row>
    <row r="1569" spans="1:11" x14ac:dyDescent="0.35">
      <c r="A1569" s="6" t="s">
        <v>9</v>
      </c>
      <c r="B1569" s="6">
        <v>1566</v>
      </c>
      <c r="C1569" s="6">
        <v>89</v>
      </c>
      <c r="D1569" s="17">
        <v>111.9</v>
      </c>
      <c r="E1569" s="1">
        <f t="shared" si="144"/>
        <v>0.4861111111111111</v>
      </c>
      <c r="F1569">
        <f t="shared" si="145"/>
        <v>407.5020740833333</v>
      </c>
      <c r="G1569">
        <f t="shared" si="146"/>
        <v>1041.4876100574907</v>
      </c>
      <c r="I1569">
        <f t="shared" si="147"/>
        <v>5.5555555555555556E-4</v>
      </c>
      <c r="J1569">
        <f t="shared" si="148"/>
        <v>0.56597510289351849</v>
      </c>
      <c r="K1569">
        <f t="shared" si="149"/>
        <v>2.4995702641379776</v>
      </c>
    </row>
    <row r="1570" spans="1:11" x14ac:dyDescent="0.35">
      <c r="A1570" s="6" t="s">
        <v>9</v>
      </c>
      <c r="B1570" s="6">
        <v>1567</v>
      </c>
      <c r="C1570" s="6">
        <v>90</v>
      </c>
      <c r="D1570" s="17">
        <v>113.7</v>
      </c>
      <c r="E1570" s="1">
        <f t="shared" si="144"/>
        <v>0.47222222222222104</v>
      </c>
      <c r="F1570">
        <f t="shared" si="145"/>
        <v>405.01935674999942</v>
      </c>
      <c r="G1570">
        <f t="shared" si="146"/>
        <v>1058.2407619619007</v>
      </c>
      <c r="I1570">
        <f t="shared" si="147"/>
        <v>5.5555555555555556E-4</v>
      </c>
      <c r="J1570">
        <f t="shared" si="148"/>
        <v>0.5625268843749992</v>
      </c>
      <c r="K1570">
        <f t="shared" si="149"/>
        <v>2.5397778287085617</v>
      </c>
    </row>
    <row r="1571" spans="1:11" x14ac:dyDescent="0.35">
      <c r="A1571" s="6" t="s">
        <v>9</v>
      </c>
      <c r="B1571" s="6">
        <v>1568</v>
      </c>
      <c r="C1571" s="6">
        <v>91</v>
      </c>
      <c r="D1571" s="17">
        <v>115.3</v>
      </c>
      <c r="E1571" s="1">
        <f t="shared" si="144"/>
        <v>0.43055555555555475</v>
      </c>
      <c r="F1571">
        <f t="shared" si="145"/>
        <v>389.49371082407373</v>
      </c>
      <c r="G1571">
        <f t="shared" si="146"/>
        <v>1073.1324525435984</v>
      </c>
      <c r="I1571">
        <f t="shared" si="147"/>
        <v>5.5555555555555556E-4</v>
      </c>
      <c r="J1571">
        <f t="shared" si="148"/>
        <v>0.5409634872556579</v>
      </c>
      <c r="K1571">
        <f t="shared" si="149"/>
        <v>2.5755178861046364</v>
      </c>
    </row>
    <row r="1572" spans="1:11" x14ac:dyDescent="0.35">
      <c r="A1572" s="6" t="s">
        <v>9</v>
      </c>
      <c r="B1572" s="6">
        <v>1569</v>
      </c>
      <c r="C1572" s="6">
        <v>92</v>
      </c>
      <c r="D1572" s="17">
        <v>116.8</v>
      </c>
      <c r="E1572" s="1">
        <f t="shared" si="144"/>
        <v>0.40277777777777857</v>
      </c>
      <c r="F1572">
        <f t="shared" si="145"/>
        <v>380.12834429629663</v>
      </c>
      <c r="G1572">
        <f t="shared" si="146"/>
        <v>1087.0934124639402</v>
      </c>
      <c r="I1572">
        <f t="shared" si="147"/>
        <v>5.5555555555555556E-4</v>
      </c>
      <c r="J1572">
        <f t="shared" si="148"/>
        <v>0.52795603374485645</v>
      </c>
      <c r="K1572">
        <f t="shared" si="149"/>
        <v>2.6090241899134563</v>
      </c>
    </row>
    <row r="1573" spans="1:11" x14ac:dyDescent="0.35">
      <c r="A1573" s="6" t="s">
        <v>9</v>
      </c>
      <c r="B1573" s="6">
        <v>1570</v>
      </c>
      <c r="C1573" s="6">
        <v>93</v>
      </c>
      <c r="D1573" s="17">
        <v>118.2</v>
      </c>
      <c r="E1573" s="1">
        <f t="shared" si="144"/>
        <v>0.37500000000000039</v>
      </c>
      <c r="F1573">
        <f t="shared" si="145"/>
        <v>370.58138966666678</v>
      </c>
      <c r="G1573">
        <f t="shared" si="146"/>
        <v>1100.1236417229259</v>
      </c>
      <c r="I1573">
        <f t="shared" si="147"/>
        <v>5.5555555555555556E-4</v>
      </c>
      <c r="J1573">
        <f t="shared" si="148"/>
        <v>0.5146963745370372</v>
      </c>
      <c r="K1573">
        <f t="shared" si="149"/>
        <v>2.6402967401350224</v>
      </c>
    </row>
    <row r="1574" spans="1:11" x14ac:dyDescent="0.35">
      <c r="A1574" s="6" t="s">
        <v>9</v>
      </c>
      <c r="B1574" s="6">
        <v>1571</v>
      </c>
      <c r="C1574" s="6">
        <v>94</v>
      </c>
      <c r="D1574" s="17">
        <v>119.5</v>
      </c>
      <c r="E1574" s="1">
        <f t="shared" si="144"/>
        <v>0.34722222222222221</v>
      </c>
      <c r="F1574">
        <f t="shared" si="145"/>
        <v>360.84488171296289</v>
      </c>
      <c r="G1574">
        <f t="shared" si="146"/>
        <v>1112.2231403205553</v>
      </c>
      <c r="I1574">
        <f t="shared" si="147"/>
        <v>5.5555555555555556E-4</v>
      </c>
      <c r="J1574">
        <f t="shared" si="148"/>
        <v>0.50117344682355958</v>
      </c>
      <c r="K1574">
        <f t="shared" si="149"/>
        <v>2.6693355367693328</v>
      </c>
    </row>
    <row r="1575" spans="1:11" x14ac:dyDescent="0.35">
      <c r="A1575" s="6" t="s">
        <v>9</v>
      </c>
      <c r="B1575" s="6">
        <v>1572</v>
      </c>
      <c r="C1575" s="6">
        <v>95</v>
      </c>
      <c r="D1575" s="17">
        <v>120.7</v>
      </c>
      <c r="E1575" s="1">
        <f t="shared" si="144"/>
        <v>0.31944444444444403</v>
      </c>
      <c r="F1575">
        <f t="shared" si="145"/>
        <v>350.91142415740723</v>
      </c>
      <c r="G1575">
        <f t="shared" si="146"/>
        <v>1123.3919082568286</v>
      </c>
      <c r="I1575">
        <f t="shared" si="147"/>
        <v>5.5555555555555556E-4</v>
      </c>
      <c r="J1575">
        <f t="shared" si="148"/>
        <v>0.4873769779963989</v>
      </c>
      <c r="K1575">
        <f t="shared" si="149"/>
        <v>2.6961405798163889</v>
      </c>
    </row>
    <row r="1576" spans="1:11" x14ac:dyDescent="0.35">
      <c r="A1576" s="6" t="s">
        <v>9</v>
      </c>
      <c r="B1576" s="6">
        <v>1573</v>
      </c>
      <c r="C1576" s="6">
        <v>96</v>
      </c>
      <c r="D1576" s="17">
        <v>121.8</v>
      </c>
      <c r="E1576" s="1">
        <f t="shared" si="144"/>
        <v>0.26388888888888767</v>
      </c>
      <c r="F1576">
        <f t="shared" si="145"/>
        <v>328.10752299999939</v>
      </c>
      <c r="G1576">
        <f t="shared" si="146"/>
        <v>1133.6299455317458</v>
      </c>
      <c r="I1576">
        <f t="shared" si="147"/>
        <v>5.5555555555555556E-4</v>
      </c>
      <c r="J1576">
        <f t="shared" si="148"/>
        <v>0.45570489305555473</v>
      </c>
      <c r="K1576">
        <f t="shared" si="149"/>
        <v>2.7207118692761898</v>
      </c>
    </row>
    <row r="1577" spans="1:11" x14ac:dyDescent="0.35">
      <c r="A1577" s="6" t="s">
        <v>9</v>
      </c>
      <c r="B1577" s="6">
        <v>1574</v>
      </c>
      <c r="C1577" s="6">
        <v>97</v>
      </c>
      <c r="D1577" s="17">
        <v>122.6</v>
      </c>
      <c r="E1577" s="1">
        <f t="shared" si="144"/>
        <v>0.19444444444444522</v>
      </c>
      <c r="F1577">
        <f t="shared" si="145"/>
        <v>298.29485662962992</v>
      </c>
      <c r="G1577">
        <f t="shared" si="146"/>
        <v>1141.0757908225949</v>
      </c>
      <c r="I1577">
        <f t="shared" si="147"/>
        <v>5.5555555555555556E-4</v>
      </c>
      <c r="J1577">
        <f t="shared" si="148"/>
        <v>0.41429841198559714</v>
      </c>
      <c r="K1577">
        <f t="shared" si="149"/>
        <v>2.7385818979742278</v>
      </c>
    </row>
    <row r="1578" spans="1:11" x14ac:dyDescent="0.35">
      <c r="A1578" s="6" t="s">
        <v>9</v>
      </c>
      <c r="B1578" s="6">
        <v>1575</v>
      </c>
      <c r="C1578" s="6">
        <v>98</v>
      </c>
      <c r="D1578" s="17">
        <v>123.2</v>
      </c>
      <c r="E1578" s="1">
        <f t="shared" si="144"/>
        <v>0.1388888888888889</v>
      </c>
      <c r="F1578">
        <f t="shared" si="145"/>
        <v>274.35998874074073</v>
      </c>
      <c r="G1578">
        <f t="shared" si="146"/>
        <v>1146.6601747907314</v>
      </c>
      <c r="I1578">
        <f t="shared" si="147"/>
        <v>5.5555555555555556E-4</v>
      </c>
      <c r="J1578">
        <f t="shared" si="148"/>
        <v>0.38105553991769547</v>
      </c>
      <c r="K1578">
        <f t="shared" si="149"/>
        <v>2.7519844194977554</v>
      </c>
    </row>
    <row r="1579" spans="1:11" x14ac:dyDescent="0.35">
      <c r="A1579" s="6" t="s">
        <v>9</v>
      </c>
      <c r="B1579" s="6">
        <v>1576</v>
      </c>
      <c r="C1579" s="6">
        <v>99</v>
      </c>
      <c r="D1579" s="17">
        <v>123.6</v>
      </c>
      <c r="E1579" s="1">
        <f t="shared" si="144"/>
        <v>6.9444444444444448E-2</v>
      </c>
      <c r="F1579">
        <f t="shared" si="145"/>
        <v>243.62942533333327</v>
      </c>
      <c r="G1579">
        <f t="shared" si="146"/>
        <v>1150.3830974361558</v>
      </c>
      <c r="I1579">
        <f t="shared" si="147"/>
        <v>5.5555555555555556E-4</v>
      </c>
      <c r="J1579">
        <f t="shared" si="148"/>
        <v>0.33837420185185174</v>
      </c>
      <c r="K1579">
        <f t="shared" si="149"/>
        <v>2.760919433846774</v>
      </c>
    </row>
    <row r="1580" spans="1:11" x14ac:dyDescent="0.35">
      <c r="A1580" s="6" t="s">
        <v>9</v>
      </c>
      <c r="B1580" s="6">
        <v>1577</v>
      </c>
      <c r="C1580" s="6">
        <v>100</v>
      </c>
      <c r="D1580" s="17">
        <v>123.7</v>
      </c>
      <c r="E1580" s="1">
        <f t="shared" si="144"/>
        <v>0</v>
      </c>
      <c r="F1580">
        <f t="shared" si="145"/>
        <v>212.1972586018519</v>
      </c>
      <c r="G1580">
        <f t="shared" si="146"/>
        <v>1151.313828097512</v>
      </c>
      <c r="I1580">
        <f t="shared" si="147"/>
        <v>5.5555555555555556E-4</v>
      </c>
      <c r="J1580">
        <f t="shared" si="148"/>
        <v>0.29471841472479432</v>
      </c>
      <c r="K1580">
        <f t="shared" si="149"/>
        <v>2.7631531874340292</v>
      </c>
    </row>
    <row r="1581" spans="1:11" x14ac:dyDescent="0.35">
      <c r="A1581" s="6" t="s">
        <v>9</v>
      </c>
      <c r="B1581" s="6">
        <v>1578</v>
      </c>
      <c r="C1581" s="6">
        <v>101</v>
      </c>
      <c r="D1581" s="17">
        <v>123.6</v>
      </c>
      <c r="E1581" s="1">
        <f t="shared" si="144"/>
        <v>-5.5555555555556344E-2</v>
      </c>
      <c r="F1581">
        <f t="shared" si="145"/>
        <v>186.62942533333293</v>
      </c>
      <c r="G1581">
        <f t="shared" si="146"/>
        <v>1150.3830974361558</v>
      </c>
      <c r="I1581">
        <f t="shared" si="147"/>
        <v>5.5555555555555556E-4</v>
      </c>
      <c r="J1581">
        <f t="shared" si="148"/>
        <v>0.25920753518518463</v>
      </c>
      <c r="K1581">
        <f t="shared" si="149"/>
        <v>2.760919433846774</v>
      </c>
    </row>
    <row r="1582" spans="1:11" x14ac:dyDescent="0.35">
      <c r="A1582" s="6" t="s">
        <v>9</v>
      </c>
      <c r="B1582" s="6">
        <v>1579</v>
      </c>
      <c r="C1582" s="6">
        <v>102</v>
      </c>
      <c r="D1582" s="17">
        <v>123.3</v>
      </c>
      <c r="E1582" s="1">
        <f t="shared" si="144"/>
        <v>-8.3333333333332538E-2</v>
      </c>
      <c r="F1582">
        <f t="shared" si="145"/>
        <v>173.26039675000035</v>
      </c>
      <c r="G1582">
        <f t="shared" si="146"/>
        <v>1147.5909054520876</v>
      </c>
      <c r="I1582">
        <f t="shared" si="147"/>
        <v>5.5555555555555556E-4</v>
      </c>
      <c r="J1582">
        <f t="shared" si="148"/>
        <v>0.24063943993055606</v>
      </c>
      <c r="K1582">
        <f t="shared" si="149"/>
        <v>2.7542181730850102</v>
      </c>
    </row>
    <row r="1583" spans="1:11" x14ac:dyDescent="0.35">
      <c r="A1583" s="6" t="s">
        <v>9</v>
      </c>
      <c r="B1583" s="6">
        <v>1580</v>
      </c>
      <c r="C1583" s="6">
        <v>103</v>
      </c>
      <c r="D1583" s="17">
        <v>123</v>
      </c>
      <c r="E1583" s="1">
        <f t="shared" si="144"/>
        <v>-0.11111111111111072</v>
      </c>
      <c r="F1583">
        <f t="shared" si="145"/>
        <v>159.89307500000015</v>
      </c>
      <c r="G1583">
        <f t="shared" si="146"/>
        <v>1144.7987134680193</v>
      </c>
      <c r="I1583">
        <f t="shared" si="147"/>
        <v>5.5555555555555556E-4</v>
      </c>
      <c r="J1583">
        <f t="shared" si="148"/>
        <v>0.222073715277778</v>
      </c>
      <c r="K1583">
        <f t="shared" si="149"/>
        <v>2.7475169123232464</v>
      </c>
    </row>
    <row r="1584" spans="1:11" x14ac:dyDescent="0.35">
      <c r="A1584" s="6" t="s">
        <v>9</v>
      </c>
      <c r="B1584" s="6">
        <v>1581</v>
      </c>
      <c r="C1584" s="6">
        <v>104</v>
      </c>
      <c r="D1584" s="17">
        <v>122.5</v>
      </c>
      <c r="E1584" s="1">
        <f t="shared" si="144"/>
        <v>-0.12500000000000078</v>
      </c>
      <c r="F1584">
        <f t="shared" si="145"/>
        <v>152.39577615740703</v>
      </c>
      <c r="G1584">
        <f t="shared" si="146"/>
        <v>1140.1450601612387</v>
      </c>
      <c r="I1584">
        <f t="shared" si="147"/>
        <v>5.5555555555555556E-4</v>
      </c>
      <c r="J1584">
        <f t="shared" si="148"/>
        <v>0.21166080021862088</v>
      </c>
      <c r="K1584">
        <f t="shared" si="149"/>
        <v>2.736348144386973</v>
      </c>
    </row>
    <row r="1585" spans="1:11" x14ac:dyDescent="0.35">
      <c r="A1585" s="6" t="s">
        <v>9</v>
      </c>
      <c r="B1585" s="6">
        <v>1582</v>
      </c>
      <c r="C1585" s="6">
        <v>105</v>
      </c>
      <c r="D1585" s="17">
        <v>122.1</v>
      </c>
      <c r="E1585" s="1">
        <f t="shared" si="144"/>
        <v>-0.1388888888888889</v>
      </c>
      <c r="F1585">
        <f t="shared" si="145"/>
        <v>145.1346840833333</v>
      </c>
      <c r="G1585">
        <f t="shared" si="146"/>
        <v>1136.4221375158143</v>
      </c>
      <c r="I1585">
        <f t="shared" si="147"/>
        <v>5.5555555555555556E-4</v>
      </c>
      <c r="J1585">
        <f t="shared" si="148"/>
        <v>0.2015759501157407</v>
      </c>
      <c r="K1585">
        <f t="shared" si="149"/>
        <v>2.7274131300379545</v>
      </c>
    </row>
    <row r="1586" spans="1:11" x14ac:dyDescent="0.35">
      <c r="A1586" s="6" t="s">
        <v>9</v>
      </c>
      <c r="B1586" s="6">
        <v>1583</v>
      </c>
      <c r="C1586" s="6">
        <v>106</v>
      </c>
      <c r="D1586" s="17">
        <v>121.5</v>
      </c>
      <c r="E1586" s="1">
        <f t="shared" si="144"/>
        <v>-0.18055555555555516</v>
      </c>
      <c r="F1586">
        <f t="shared" si="145"/>
        <v>124.74873541666685</v>
      </c>
      <c r="G1586">
        <f t="shared" si="146"/>
        <v>1130.8377535476775</v>
      </c>
      <c r="I1586">
        <f t="shared" si="147"/>
        <v>5.5555555555555556E-4</v>
      </c>
      <c r="J1586">
        <f t="shared" si="148"/>
        <v>0.1732621325231484</v>
      </c>
      <c r="K1586">
        <f t="shared" si="149"/>
        <v>2.714010608514426</v>
      </c>
    </row>
    <row r="1587" spans="1:11" x14ac:dyDescent="0.35">
      <c r="A1587" s="6" t="s">
        <v>9</v>
      </c>
      <c r="B1587" s="6">
        <v>1584</v>
      </c>
      <c r="C1587" s="6">
        <v>107</v>
      </c>
      <c r="D1587" s="17">
        <v>120.8</v>
      </c>
      <c r="E1587" s="1">
        <f t="shared" si="144"/>
        <v>-0.20833333333333331</v>
      </c>
      <c r="F1587">
        <f t="shared" si="145"/>
        <v>110.47375762962966</v>
      </c>
      <c r="G1587">
        <f t="shared" si="146"/>
        <v>1124.3226389181848</v>
      </c>
      <c r="I1587">
        <f t="shared" si="147"/>
        <v>5.5555555555555556E-4</v>
      </c>
      <c r="J1587">
        <f t="shared" si="148"/>
        <v>0.15343577448559675</v>
      </c>
      <c r="K1587">
        <f t="shared" si="149"/>
        <v>2.6983743334036436</v>
      </c>
    </row>
    <row r="1588" spans="1:11" x14ac:dyDescent="0.35">
      <c r="A1588" s="6" t="s">
        <v>9</v>
      </c>
      <c r="B1588" s="6">
        <v>1585</v>
      </c>
      <c r="C1588" s="6">
        <v>108</v>
      </c>
      <c r="D1588" s="17">
        <v>120</v>
      </c>
      <c r="E1588" s="1">
        <f t="shared" si="144"/>
        <v>-0.23611111111111149</v>
      </c>
      <c r="F1588">
        <f t="shared" si="145"/>
        <v>95.980399999999861</v>
      </c>
      <c r="G1588">
        <f t="shared" si="146"/>
        <v>1116.8767936273357</v>
      </c>
      <c r="I1588">
        <f t="shared" si="147"/>
        <v>5.5555555555555556E-4</v>
      </c>
      <c r="J1588">
        <f t="shared" si="148"/>
        <v>0.13330611111111093</v>
      </c>
      <c r="K1588">
        <f t="shared" si="149"/>
        <v>2.6805043047056056</v>
      </c>
    </row>
    <row r="1589" spans="1:11" x14ac:dyDescent="0.35">
      <c r="A1589" s="6" t="s">
        <v>9</v>
      </c>
      <c r="B1589" s="6">
        <v>1586</v>
      </c>
      <c r="C1589" s="6">
        <v>109</v>
      </c>
      <c r="D1589" s="17">
        <v>119.1</v>
      </c>
      <c r="E1589" s="1">
        <f t="shared" si="144"/>
        <v>-0.26388888888888967</v>
      </c>
      <c r="F1589">
        <f t="shared" si="145"/>
        <v>81.273214083332945</v>
      </c>
      <c r="G1589">
        <f t="shared" si="146"/>
        <v>1108.5002176751307</v>
      </c>
      <c r="I1589">
        <f t="shared" si="147"/>
        <v>5.5555555555555556E-4</v>
      </c>
      <c r="J1589">
        <f t="shared" si="148"/>
        <v>0.11287946400462909</v>
      </c>
      <c r="K1589">
        <f t="shared" si="149"/>
        <v>2.6604005224203138</v>
      </c>
    </row>
    <row r="1590" spans="1:11" x14ac:dyDescent="0.35">
      <c r="A1590" s="6" t="s">
        <v>9</v>
      </c>
      <c r="B1590" s="6">
        <v>1587</v>
      </c>
      <c r="C1590" s="6">
        <v>110</v>
      </c>
      <c r="D1590" s="17">
        <v>118.1</v>
      </c>
      <c r="E1590" s="1">
        <f t="shared" si="144"/>
        <v>-0.27777777777777779</v>
      </c>
      <c r="F1590">
        <f t="shared" si="145"/>
        <v>72.690653712962913</v>
      </c>
      <c r="G1590">
        <f t="shared" si="146"/>
        <v>1099.1929110615697</v>
      </c>
      <c r="I1590">
        <f t="shared" si="147"/>
        <v>5.5555555555555556E-4</v>
      </c>
      <c r="J1590">
        <f t="shared" si="148"/>
        <v>0.10095924126800404</v>
      </c>
      <c r="K1590">
        <f t="shared" si="149"/>
        <v>2.6380629865477672</v>
      </c>
    </row>
    <row r="1591" spans="1:11" x14ac:dyDescent="0.35">
      <c r="A1591" s="6" t="s">
        <v>9</v>
      </c>
      <c r="B1591" s="6">
        <v>1588</v>
      </c>
      <c r="C1591" s="6">
        <v>111</v>
      </c>
      <c r="D1591" s="17">
        <v>117.1</v>
      </c>
      <c r="E1591" s="1">
        <f t="shared" si="144"/>
        <v>-0.26388888888888767</v>
      </c>
      <c r="F1591">
        <f t="shared" si="145"/>
        <v>76.793724824074616</v>
      </c>
      <c r="G1591">
        <f t="shared" si="146"/>
        <v>1089.8856044480085</v>
      </c>
      <c r="I1591">
        <f t="shared" si="147"/>
        <v>5.5555555555555556E-4</v>
      </c>
      <c r="J1591">
        <f t="shared" si="148"/>
        <v>0.10665795114454808</v>
      </c>
      <c r="K1591">
        <f t="shared" si="149"/>
        <v>2.6157254506752206</v>
      </c>
    </row>
    <row r="1592" spans="1:11" x14ac:dyDescent="0.35">
      <c r="A1592" s="6" t="s">
        <v>9</v>
      </c>
      <c r="B1592" s="6">
        <v>1589</v>
      </c>
      <c r="C1592" s="6">
        <v>112</v>
      </c>
      <c r="D1592" s="17">
        <v>116.2</v>
      </c>
      <c r="E1592" s="1">
        <f t="shared" si="144"/>
        <v>-0.22222222222222143</v>
      </c>
      <c r="F1592">
        <f t="shared" si="145"/>
        <v>93.802703740741123</v>
      </c>
      <c r="G1592">
        <f t="shared" si="146"/>
        <v>1081.5090284958035</v>
      </c>
      <c r="I1592">
        <f t="shared" si="147"/>
        <v>5.5555555555555556E-4</v>
      </c>
      <c r="J1592">
        <f t="shared" si="148"/>
        <v>0.13028153297325157</v>
      </c>
      <c r="K1592">
        <f t="shared" si="149"/>
        <v>2.5956216683899282</v>
      </c>
    </row>
    <row r="1593" spans="1:11" x14ac:dyDescent="0.35">
      <c r="A1593" s="6" t="s">
        <v>9</v>
      </c>
      <c r="B1593" s="6">
        <v>1590</v>
      </c>
      <c r="C1593" s="6">
        <v>113</v>
      </c>
      <c r="D1593" s="17">
        <v>115.5</v>
      </c>
      <c r="E1593" s="1">
        <f t="shared" si="144"/>
        <v>-0.18055555555555516</v>
      </c>
      <c r="F1593">
        <f t="shared" si="145"/>
        <v>111.26475208333352</v>
      </c>
      <c r="G1593">
        <f t="shared" si="146"/>
        <v>1074.9939138663108</v>
      </c>
      <c r="I1593">
        <f t="shared" si="147"/>
        <v>5.5555555555555556E-4</v>
      </c>
      <c r="J1593">
        <f t="shared" si="148"/>
        <v>0.15453437789351879</v>
      </c>
      <c r="K1593">
        <f t="shared" si="149"/>
        <v>2.5799853932791459</v>
      </c>
    </row>
    <row r="1594" spans="1:11" x14ac:dyDescent="0.35">
      <c r="A1594" s="6" t="s">
        <v>9</v>
      </c>
      <c r="B1594" s="6">
        <v>1591</v>
      </c>
      <c r="C1594" s="6">
        <v>114</v>
      </c>
      <c r="D1594" s="17">
        <v>114.9</v>
      </c>
      <c r="E1594" s="1">
        <f t="shared" si="144"/>
        <v>-0.1388888888888889</v>
      </c>
      <c r="F1594">
        <f t="shared" si="145"/>
        <v>128.95390408333333</v>
      </c>
      <c r="G1594">
        <f t="shared" si="146"/>
        <v>1069.409529898174</v>
      </c>
      <c r="I1594">
        <f t="shared" si="147"/>
        <v>5.5555555555555556E-4</v>
      </c>
      <c r="J1594">
        <f t="shared" si="148"/>
        <v>0.17910264456018518</v>
      </c>
      <c r="K1594">
        <f t="shared" si="149"/>
        <v>2.5665828717556178</v>
      </c>
    </row>
    <row r="1595" spans="1:11" x14ac:dyDescent="0.35">
      <c r="A1595" s="6" t="s">
        <v>9</v>
      </c>
      <c r="B1595" s="6">
        <v>1592</v>
      </c>
      <c r="C1595" s="6">
        <v>115</v>
      </c>
      <c r="D1595" s="17">
        <v>114.5</v>
      </c>
      <c r="E1595" s="1">
        <f t="shared" si="144"/>
        <v>-0.11111111111111269</v>
      </c>
      <c r="F1595">
        <f t="shared" si="145"/>
        <v>140.75046504629557</v>
      </c>
      <c r="G1595">
        <f t="shared" si="146"/>
        <v>1065.6866072527496</v>
      </c>
      <c r="I1595">
        <f t="shared" si="147"/>
        <v>5.5555555555555556E-4</v>
      </c>
      <c r="J1595">
        <f t="shared" si="148"/>
        <v>0.19548675700874385</v>
      </c>
      <c r="K1595">
        <f t="shared" si="149"/>
        <v>2.5576478574065988</v>
      </c>
    </row>
    <row r="1596" spans="1:11" x14ac:dyDescent="0.35">
      <c r="A1596" s="6" t="s">
        <v>9</v>
      </c>
      <c r="B1596" s="6">
        <v>1593</v>
      </c>
      <c r="C1596" s="6">
        <v>116</v>
      </c>
      <c r="D1596" s="17">
        <v>114.1</v>
      </c>
      <c r="E1596" s="1">
        <f t="shared" si="144"/>
        <v>-8.3333333333332538E-2</v>
      </c>
      <c r="F1596">
        <f t="shared" si="145"/>
        <v>152.55006037962997</v>
      </c>
      <c r="G1596">
        <f t="shared" si="146"/>
        <v>1061.9636846073251</v>
      </c>
      <c r="I1596">
        <f t="shared" si="147"/>
        <v>5.5555555555555556E-4</v>
      </c>
      <c r="J1596">
        <f t="shared" si="148"/>
        <v>0.21187508386059717</v>
      </c>
      <c r="K1596">
        <f t="shared" si="149"/>
        <v>2.5487128430575803</v>
      </c>
    </row>
    <row r="1597" spans="1:11" x14ac:dyDescent="0.35">
      <c r="A1597" s="6" t="s">
        <v>9</v>
      </c>
      <c r="B1597" s="6">
        <v>1594</v>
      </c>
      <c r="C1597" s="6">
        <v>117</v>
      </c>
      <c r="D1597" s="17">
        <v>113.9</v>
      </c>
      <c r="E1597" s="1">
        <f t="shared" si="144"/>
        <v>-5.5555555555554373E-2</v>
      </c>
      <c r="F1597">
        <f t="shared" si="145"/>
        <v>164.78432926851909</v>
      </c>
      <c r="G1597">
        <f t="shared" si="146"/>
        <v>1060.1022232846128</v>
      </c>
      <c r="I1597">
        <f t="shared" si="147"/>
        <v>5.5555555555555556E-4</v>
      </c>
      <c r="J1597">
        <f t="shared" si="148"/>
        <v>0.22886712398405429</v>
      </c>
      <c r="K1597">
        <f t="shared" si="149"/>
        <v>2.5442453358830708</v>
      </c>
    </row>
    <row r="1598" spans="1:11" x14ac:dyDescent="0.35">
      <c r="A1598" s="6" t="s">
        <v>9</v>
      </c>
      <c r="B1598" s="6">
        <v>1595</v>
      </c>
      <c r="C1598" s="6">
        <v>118</v>
      </c>
      <c r="D1598" s="17">
        <v>113.7</v>
      </c>
      <c r="E1598" s="1">
        <f t="shared" si="144"/>
        <v>-8.3333333333334522E-2</v>
      </c>
      <c r="F1598">
        <f t="shared" si="145"/>
        <v>151.6860234166661</v>
      </c>
      <c r="G1598">
        <f t="shared" si="146"/>
        <v>1058.2407619619007</v>
      </c>
      <c r="I1598">
        <f t="shared" si="147"/>
        <v>5.5555555555555556E-4</v>
      </c>
      <c r="J1598">
        <f t="shared" si="148"/>
        <v>0.21067503252314737</v>
      </c>
      <c r="K1598">
        <f t="shared" si="149"/>
        <v>2.5397778287085617</v>
      </c>
    </row>
    <row r="1599" spans="1:11" x14ac:dyDescent="0.35">
      <c r="A1599" s="6" t="s">
        <v>9</v>
      </c>
      <c r="B1599" s="6">
        <v>1596</v>
      </c>
      <c r="C1599" s="6">
        <v>119</v>
      </c>
      <c r="D1599" s="17">
        <v>113.3</v>
      </c>
      <c r="E1599" s="1">
        <f t="shared" si="144"/>
        <v>-0.11111111111111072</v>
      </c>
      <c r="F1599">
        <f t="shared" si="145"/>
        <v>138.15835415740756</v>
      </c>
      <c r="G1599">
        <f t="shared" si="146"/>
        <v>1054.5178393164763</v>
      </c>
      <c r="I1599">
        <f t="shared" si="147"/>
        <v>5.5555555555555556E-4</v>
      </c>
      <c r="J1599">
        <f t="shared" si="148"/>
        <v>0.1918866029963994</v>
      </c>
      <c r="K1599">
        <f t="shared" si="149"/>
        <v>2.5308428143595432</v>
      </c>
    </row>
    <row r="1600" spans="1:11" x14ac:dyDescent="0.35">
      <c r="A1600" s="6" t="s">
        <v>9</v>
      </c>
      <c r="B1600" s="6">
        <v>1597</v>
      </c>
      <c r="C1600" s="6">
        <v>120</v>
      </c>
      <c r="D1600" s="17">
        <v>112.9</v>
      </c>
      <c r="E1600" s="1">
        <f t="shared" si="144"/>
        <v>-0.15277777777777699</v>
      </c>
      <c r="F1600">
        <f t="shared" si="145"/>
        <v>118.30038593518555</v>
      </c>
      <c r="G1600">
        <f t="shared" si="146"/>
        <v>1050.7949166710519</v>
      </c>
      <c r="I1600">
        <f t="shared" si="147"/>
        <v>5.5555555555555556E-4</v>
      </c>
      <c r="J1600">
        <f t="shared" si="148"/>
        <v>0.16430609157664658</v>
      </c>
      <c r="K1600">
        <f t="shared" si="149"/>
        <v>2.5219078000105246</v>
      </c>
    </row>
    <row r="1601" spans="1:11" x14ac:dyDescent="0.35">
      <c r="A1601" s="6" t="s">
        <v>9</v>
      </c>
      <c r="B1601" s="6">
        <v>1598</v>
      </c>
      <c r="C1601" s="6">
        <v>121</v>
      </c>
      <c r="D1601" s="17">
        <v>112.2</v>
      </c>
      <c r="E1601" s="1">
        <f t="shared" si="144"/>
        <v>-0.20833333333333331</v>
      </c>
      <c r="F1601">
        <f t="shared" si="145"/>
        <v>91.472909666666695</v>
      </c>
      <c r="G1601">
        <f t="shared" si="146"/>
        <v>1044.2798020415589</v>
      </c>
      <c r="I1601">
        <f t="shared" si="147"/>
        <v>5.5555555555555556E-4</v>
      </c>
      <c r="J1601">
        <f t="shared" si="148"/>
        <v>0.12704570787037042</v>
      </c>
      <c r="K1601">
        <f t="shared" si="149"/>
        <v>2.5062715248997414</v>
      </c>
    </row>
    <row r="1602" spans="1:11" x14ac:dyDescent="0.35">
      <c r="A1602" s="6" t="s">
        <v>9</v>
      </c>
      <c r="B1602" s="6">
        <v>1599</v>
      </c>
      <c r="C1602" s="6">
        <v>122</v>
      </c>
      <c r="D1602" s="17">
        <v>111.4</v>
      </c>
      <c r="E1602" s="1">
        <f t="shared" si="144"/>
        <v>-0.23611111111111149</v>
      </c>
      <c r="F1602">
        <f t="shared" si="145"/>
        <v>77.110029962962813</v>
      </c>
      <c r="G1602">
        <f t="shared" si="146"/>
        <v>1036.8339567507101</v>
      </c>
      <c r="I1602">
        <f t="shared" si="147"/>
        <v>5.5555555555555556E-4</v>
      </c>
      <c r="J1602">
        <f t="shared" si="148"/>
        <v>0.10709726383744834</v>
      </c>
      <c r="K1602">
        <f t="shared" si="149"/>
        <v>2.4884014962017043</v>
      </c>
    </row>
    <row r="1603" spans="1:11" x14ac:dyDescent="0.35">
      <c r="A1603" s="6" t="s">
        <v>9</v>
      </c>
      <c r="B1603" s="6">
        <v>1600</v>
      </c>
      <c r="C1603" s="6">
        <v>123</v>
      </c>
      <c r="D1603" s="17">
        <v>110.5</v>
      </c>
      <c r="E1603" s="1">
        <f t="shared" si="144"/>
        <v>-0.26388888888888967</v>
      </c>
      <c r="F1603">
        <f t="shared" si="145"/>
        <v>62.549631712962608</v>
      </c>
      <c r="G1603">
        <f t="shared" si="146"/>
        <v>1028.457380798505</v>
      </c>
      <c r="I1603">
        <f t="shared" si="147"/>
        <v>5.5555555555555556E-4</v>
      </c>
      <c r="J1603">
        <f t="shared" si="148"/>
        <v>8.6874488490225846E-2</v>
      </c>
      <c r="K1603">
        <f t="shared" si="149"/>
        <v>2.4682977139164124</v>
      </c>
    </row>
    <row r="1604" spans="1:11" x14ac:dyDescent="0.35">
      <c r="A1604" s="6" t="s">
        <v>9</v>
      </c>
      <c r="B1604" s="6">
        <v>1601</v>
      </c>
      <c r="C1604" s="6">
        <v>124</v>
      </c>
      <c r="D1604" s="17">
        <v>109.5</v>
      </c>
      <c r="E1604" s="1">
        <f t="shared" si="144"/>
        <v>-0.27777777777777779</v>
      </c>
      <c r="F1604">
        <f t="shared" si="145"/>
        <v>54.130168749999989</v>
      </c>
      <c r="G1604">
        <f t="shared" si="146"/>
        <v>1019.1500741849439</v>
      </c>
      <c r="I1604">
        <f t="shared" si="147"/>
        <v>5.5555555555555556E-4</v>
      </c>
      <c r="J1604">
        <f t="shared" si="148"/>
        <v>7.5180789930555533E-2</v>
      </c>
      <c r="K1604">
        <f t="shared" si="149"/>
        <v>2.4459601780438653</v>
      </c>
    </row>
    <row r="1605" spans="1:11" x14ac:dyDescent="0.35">
      <c r="A1605" s="6" t="s">
        <v>9</v>
      </c>
      <c r="B1605" s="6">
        <v>1602</v>
      </c>
      <c r="C1605" s="6">
        <v>125</v>
      </c>
      <c r="D1605" s="17">
        <v>108.5</v>
      </c>
      <c r="E1605" s="1">
        <f t="shared" ref="E1605:E1668" si="150">($D1606-$D1604)/2/3.6</f>
        <v>-0.24999999999999961</v>
      </c>
      <c r="F1605">
        <f t="shared" ref="F1605:F1668" si="151">IF(D1605=0,0,MAX(0,0.285*(1600*E1605 + 1600*9.81*0.015 + 0.5*1.225*0.32*2.2*(D1605/3.6)^2)))</f>
        <v>64.729670601852035</v>
      </c>
      <c r="G1605">
        <f t="shared" ref="G1605:G1668" si="152">60*D1605/(2*PI()*3.6*0.285)</f>
        <v>1009.8427675713828</v>
      </c>
      <c r="I1605">
        <f t="shared" ref="I1605:I1668" si="153">1/1800</f>
        <v>5.5555555555555556E-4</v>
      </c>
      <c r="J1605">
        <f t="shared" ref="J1605:J1668" si="154">F1605/(M$3*3.6)</f>
        <v>8.9902320280350043E-2</v>
      </c>
      <c r="K1605">
        <f t="shared" ref="K1605:K1668" si="155">G1605*3.6/N$3</f>
        <v>2.4236226421713187</v>
      </c>
    </row>
    <row r="1606" spans="1:11" x14ac:dyDescent="0.35">
      <c r="A1606" s="6" t="s">
        <v>9</v>
      </c>
      <c r="B1606" s="6">
        <v>1603</v>
      </c>
      <c r="C1606" s="6">
        <v>126</v>
      </c>
      <c r="D1606" s="17">
        <v>107.7</v>
      </c>
      <c r="E1606" s="1">
        <f t="shared" si="150"/>
        <v>-0.19444444444444522</v>
      </c>
      <c r="F1606">
        <f t="shared" si="151"/>
        <v>88.422926749999661</v>
      </c>
      <c r="G1606">
        <f t="shared" si="152"/>
        <v>1002.3969222805339</v>
      </c>
      <c r="I1606">
        <f t="shared" si="153"/>
        <v>5.5555555555555556E-4</v>
      </c>
      <c r="J1606">
        <f t="shared" si="154"/>
        <v>0.12280962048611065</v>
      </c>
      <c r="K1606">
        <f t="shared" si="155"/>
        <v>2.4057526134732812</v>
      </c>
    </row>
    <row r="1607" spans="1:11" x14ac:dyDescent="0.35">
      <c r="A1607" s="6" t="s">
        <v>9</v>
      </c>
      <c r="B1607" s="6">
        <v>1604</v>
      </c>
      <c r="C1607" s="6">
        <v>127</v>
      </c>
      <c r="D1607" s="17">
        <v>107.1</v>
      </c>
      <c r="E1607" s="1">
        <f t="shared" si="150"/>
        <v>-0.15277777777777896</v>
      </c>
      <c r="F1607">
        <f t="shared" si="151"/>
        <v>106.20083408333277</v>
      </c>
      <c r="G1607">
        <f t="shared" si="152"/>
        <v>996.81253831239724</v>
      </c>
      <c r="I1607">
        <f t="shared" si="153"/>
        <v>5.5555555555555556E-4</v>
      </c>
      <c r="J1607">
        <f t="shared" si="154"/>
        <v>0.14750115844907327</v>
      </c>
      <c r="K1607">
        <f t="shared" si="155"/>
        <v>2.3923500919497536</v>
      </c>
    </row>
    <row r="1608" spans="1:11" x14ac:dyDescent="0.35">
      <c r="A1608" s="6" t="s">
        <v>9</v>
      </c>
      <c r="B1608" s="6">
        <v>1605</v>
      </c>
      <c r="C1608" s="6">
        <v>128</v>
      </c>
      <c r="D1608" s="17">
        <v>106.6</v>
      </c>
      <c r="E1608" s="1">
        <f t="shared" si="150"/>
        <v>-9.7222222222220642E-2</v>
      </c>
      <c r="F1608">
        <f t="shared" si="151"/>
        <v>130.52097218518588</v>
      </c>
      <c r="G1608">
        <f t="shared" si="152"/>
        <v>992.15888500561664</v>
      </c>
      <c r="I1608">
        <f t="shared" si="153"/>
        <v>5.5555555555555556E-4</v>
      </c>
      <c r="J1608">
        <f t="shared" si="154"/>
        <v>0.18127912803498039</v>
      </c>
      <c r="K1608">
        <f t="shared" si="155"/>
        <v>2.3811813240134803</v>
      </c>
    </row>
    <row r="1609" spans="1:11" x14ac:dyDescent="0.35">
      <c r="A1609" s="6" t="s">
        <v>9</v>
      </c>
      <c r="B1609" s="6">
        <v>1606</v>
      </c>
      <c r="C1609" s="6">
        <v>129</v>
      </c>
      <c r="D1609" s="17">
        <v>106.4</v>
      </c>
      <c r="E1609" s="1">
        <f t="shared" si="150"/>
        <v>-5.5555555555554373E-2</v>
      </c>
      <c r="F1609">
        <f t="shared" si="151"/>
        <v>149.11702162963019</v>
      </c>
      <c r="G1609">
        <f t="shared" si="152"/>
        <v>990.29742368290442</v>
      </c>
      <c r="I1609">
        <f t="shared" si="153"/>
        <v>5.5555555555555556E-4</v>
      </c>
      <c r="J1609">
        <f t="shared" si="154"/>
        <v>0.20710697448559748</v>
      </c>
      <c r="K1609">
        <f t="shared" si="155"/>
        <v>2.3767138168389708</v>
      </c>
    </row>
    <row r="1610" spans="1:11" x14ac:dyDescent="0.35">
      <c r="A1610" s="6" t="s">
        <v>9</v>
      </c>
      <c r="B1610" s="6">
        <v>1607</v>
      </c>
      <c r="C1610" s="6">
        <v>130</v>
      </c>
      <c r="D1610" s="17">
        <v>106.2</v>
      </c>
      <c r="E1610" s="1">
        <f t="shared" si="150"/>
        <v>-2.7777777777778172E-2</v>
      </c>
      <c r="F1610">
        <f t="shared" si="151"/>
        <v>161.38049633333313</v>
      </c>
      <c r="G1610">
        <f t="shared" si="152"/>
        <v>988.43596236019221</v>
      </c>
      <c r="I1610">
        <f t="shared" si="153"/>
        <v>5.5555555555555556E-4</v>
      </c>
      <c r="J1610">
        <f t="shared" si="154"/>
        <v>0.22413957824074046</v>
      </c>
      <c r="K1610">
        <f t="shared" si="155"/>
        <v>2.3722463096644613</v>
      </c>
    </row>
    <row r="1611" spans="1:11" x14ac:dyDescent="0.35">
      <c r="A1611" s="6" t="s">
        <v>9</v>
      </c>
      <c r="B1611" s="6">
        <v>1608</v>
      </c>
      <c r="C1611" s="6">
        <v>131</v>
      </c>
      <c r="D1611" s="17">
        <v>106.2</v>
      </c>
      <c r="E1611" s="1">
        <f t="shared" si="150"/>
        <v>0</v>
      </c>
      <c r="F1611">
        <f t="shared" si="151"/>
        <v>174.04716300000001</v>
      </c>
      <c r="G1611">
        <f t="shared" si="152"/>
        <v>988.43596236019221</v>
      </c>
      <c r="I1611">
        <f t="shared" si="153"/>
        <v>5.5555555555555556E-4</v>
      </c>
      <c r="J1611">
        <f t="shared" si="154"/>
        <v>0.24173217083333334</v>
      </c>
      <c r="K1611">
        <f t="shared" si="155"/>
        <v>2.3722463096644613</v>
      </c>
    </row>
    <row r="1612" spans="1:11" x14ac:dyDescent="0.35">
      <c r="A1612" s="6" t="s">
        <v>9</v>
      </c>
      <c r="B1612" s="6">
        <v>1609</v>
      </c>
      <c r="C1612" s="6">
        <v>132</v>
      </c>
      <c r="D1612" s="17">
        <v>106.2</v>
      </c>
      <c r="E1612" s="1">
        <f t="shared" si="150"/>
        <v>2.7777777777778172E-2</v>
      </c>
      <c r="F1612">
        <f t="shared" si="151"/>
        <v>186.71382966666684</v>
      </c>
      <c r="G1612">
        <f t="shared" si="152"/>
        <v>988.43596236019221</v>
      </c>
      <c r="I1612">
        <f t="shared" si="153"/>
        <v>5.5555555555555556E-4</v>
      </c>
      <c r="J1612">
        <f t="shared" si="154"/>
        <v>0.25932476342592614</v>
      </c>
      <c r="K1612">
        <f t="shared" si="155"/>
        <v>2.3722463096644613</v>
      </c>
    </row>
    <row r="1613" spans="1:11" x14ac:dyDescent="0.35">
      <c r="A1613" s="6" t="s">
        <v>9</v>
      </c>
      <c r="B1613" s="6">
        <v>1610</v>
      </c>
      <c r="C1613" s="6">
        <v>133</v>
      </c>
      <c r="D1613" s="17">
        <v>106.4</v>
      </c>
      <c r="E1613" s="1">
        <f t="shared" si="150"/>
        <v>4.1666666666666269E-2</v>
      </c>
      <c r="F1613">
        <f t="shared" si="151"/>
        <v>193.45035496296279</v>
      </c>
      <c r="G1613">
        <f t="shared" si="152"/>
        <v>990.29742368290442</v>
      </c>
      <c r="I1613">
        <f t="shared" si="153"/>
        <v>5.5555555555555556E-4</v>
      </c>
      <c r="J1613">
        <f t="shared" si="154"/>
        <v>0.26868104855967057</v>
      </c>
      <c r="K1613">
        <f t="shared" si="155"/>
        <v>2.3767138168389708</v>
      </c>
    </row>
    <row r="1614" spans="1:11" x14ac:dyDescent="0.35">
      <c r="A1614" s="6" t="s">
        <v>9</v>
      </c>
      <c r="B1614" s="6">
        <v>1611</v>
      </c>
      <c r="C1614" s="6">
        <v>134</v>
      </c>
      <c r="D1614" s="17">
        <v>106.5</v>
      </c>
      <c r="E1614" s="1">
        <f t="shared" si="150"/>
        <v>5.5555555555554373E-2</v>
      </c>
      <c r="F1614">
        <f t="shared" si="151"/>
        <v>199.98556874999943</v>
      </c>
      <c r="G1614">
        <f t="shared" si="152"/>
        <v>991.22815434426047</v>
      </c>
      <c r="I1614">
        <f t="shared" si="153"/>
        <v>5.5555555555555556E-4</v>
      </c>
      <c r="J1614">
        <f t="shared" si="154"/>
        <v>0.27775773437499923</v>
      </c>
      <c r="K1614">
        <f t="shared" si="155"/>
        <v>2.3789475704262251</v>
      </c>
    </row>
    <row r="1615" spans="1:11" x14ac:dyDescent="0.35">
      <c r="A1615" s="6" t="s">
        <v>9</v>
      </c>
      <c r="B1615" s="6">
        <v>1612</v>
      </c>
      <c r="C1615" s="6">
        <v>135</v>
      </c>
      <c r="D1615" s="17">
        <v>106.8</v>
      </c>
      <c r="E1615" s="1">
        <f t="shared" si="150"/>
        <v>9.7222222222222612E-2</v>
      </c>
      <c r="F1615">
        <f t="shared" si="151"/>
        <v>219.59234800000013</v>
      </c>
      <c r="G1615">
        <f t="shared" si="152"/>
        <v>994.02034632832886</v>
      </c>
      <c r="I1615">
        <f t="shared" si="153"/>
        <v>5.5555555555555556E-4</v>
      </c>
      <c r="J1615">
        <f t="shared" si="154"/>
        <v>0.30498937222222239</v>
      </c>
      <c r="K1615">
        <f t="shared" si="155"/>
        <v>2.3856488311879893</v>
      </c>
    </row>
    <row r="1616" spans="1:11" x14ac:dyDescent="0.35">
      <c r="A1616" s="6" t="s">
        <v>9</v>
      </c>
      <c r="B1616" s="6">
        <v>1613</v>
      </c>
      <c r="C1616" s="6">
        <v>136</v>
      </c>
      <c r="D1616" s="17">
        <v>107.2</v>
      </c>
      <c r="E1616" s="1">
        <f t="shared" si="150"/>
        <v>0.1388888888888889</v>
      </c>
      <c r="F1616">
        <f t="shared" si="151"/>
        <v>239.40404207407406</v>
      </c>
      <c r="G1616">
        <f t="shared" si="152"/>
        <v>997.74326897375329</v>
      </c>
      <c r="I1616">
        <f t="shared" si="153"/>
        <v>5.5555555555555556E-4</v>
      </c>
      <c r="J1616">
        <f t="shared" si="154"/>
        <v>0.33250561399176953</v>
      </c>
      <c r="K1616">
        <f t="shared" si="155"/>
        <v>2.3945838455370079</v>
      </c>
    </row>
    <row r="1617" spans="1:11" x14ac:dyDescent="0.35">
      <c r="A1617" s="6" t="s">
        <v>9</v>
      </c>
      <c r="B1617" s="6">
        <v>1614</v>
      </c>
      <c r="C1617" s="6">
        <v>137</v>
      </c>
      <c r="D1617" s="17">
        <v>107.8</v>
      </c>
      <c r="E1617" s="1">
        <f t="shared" si="150"/>
        <v>0.18055555555555516</v>
      </c>
      <c r="F1617">
        <f t="shared" si="151"/>
        <v>259.62727262962943</v>
      </c>
      <c r="G1617">
        <f t="shared" si="152"/>
        <v>1003.3276529418901</v>
      </c>
      <c r="I1617">
        <f t="shared" si="153"/>
        <v>5.5555555555555556E-4</v>
      </c>
      <c r="J1617">
        <f t="shared" si="154"/>
        <v>0.36059343420781864</v>
      </c>
      <c r="K1617">
        <f t="shared" si="155"/>
        <v>2.4079863670605359</v>
      </c>
    </row>
    <row r="1618" spans="1:11" x14ac:dyDescent="0.35">
      <c r="A1618" s="6" t="s">
        <v>9</v>
      </c>
      <c r="B1618" s="6">
        <v>1615</v>
      </c>
      <c r="C1618" s="6">
        <v>138</v>
      </c>
      <c r="D1618" s="17">
        <v>108.5</v>
      </c>
      <c r="E1618" s="1">
        <f t="shared" si="150"/>
        <v>0.2222222222222234</v>
      </c>
      <c r="F1618">
        <f t="shared" si="151"/>
        <v>280.06300393518569</v>
      </c>
      <c r="G1618">
        <f t="shared" si="152"/>
        <v>1009.8427675713828</v>
      </c>
      <c r="I1618">
        <f t="shared" si="153"/>
        <v>5.5555555555555556E-4</v>
      </c>
      <c r="J1618">
        <f t="shared" si="154"/>
        <v>0.38897639435442455</v>
      </c>
      <c r="K1618">
        <f t="shared" si="155"/>
        <v>2.4236226421713187</v>
      </c>
    </row>
    <row r="1619" spans="1:11" x14ac:dyDescent="0.35">
      <c r="A1619" s="6" t="s">
        <v>9</v>
      </c>
      <c r="B1619" s="6">
        <v>1616</v>
      </c>
      <c r="C1619" s="6">
        <v>139</v>
      </c>
      <c r="D1619" s="17">
        <v>109.4</v>
      </c>
      <c r="E1619" s="1">
        <f t="shared" si="150"/>
        <v>0.27777777777777779</v>
      </c>
      <c r="F1619">
        <f t="shared" si="151"/>
        <v>307.25593218518515</v>
      </c>
      <c r="G1619">
        <f t="shared" si="152"/>
        <v>1018.2193435235878</v>
      </c>
      <c r="I1619">
        <f t="shared" si="153"/>
        <v>5.5555555555555556E-4</v>
      </c>
      <c r="J1619">
        <f t="shared" si="154"/>
        <v>0.42674435025720159</v>
      </c>
      <c r="K1619">
        <f t="shared" si="155"/>
        <v>2.4437264244566106</v>
      </c>
    </row>
    <row r="1620" spans="1:11" x14ac:dyDescent="0.35">
      <c r="A1620" s="6" t="s">
        <v>9</v>
      </c>
      <c r="B1620" s="6">
        <v>1617</v>
      </c>
      <c r="C1620" s="6">
        <v>140</v>
      </c>
      <c r="D1620" s="17">
        <v>110.5</v>
      </c>
      <c r="E1620" s="1">
        <f t="shared" si="150"/>
        <v>0.31944444444444403</v>
      </c>
      <c r="F1620">
        <f t="shared" si="151"/>
        <v>328.54963171296276</v>
      </c>
      <c r="G1620">
        <f t="shared" si="152"/>
        <v>1028.457380798505</v>
      </c>
      <c r="I1620">
        <f t="shared" si="153"/>
        <v>5.5555555555555556E-4</v>
      </c>
      <c r="J1620">
        <f t="shared" si="154"/>
        <v>0.45631893293467052</v>
      </c>
      <c r="K1620">
        <f t="shared" si="155"/>
        <v>2.4682977139164124</v>
      </c>
    </row>
    <row r="1621" spans="1:11" x14ac:dyDescent="0.35">
      <c r="A1621" s="6" t="s">
        <v>9</v>
      </c>
      <c r="B1621" s="6">
        <v>1618</v>
      </c>
      <c r="C1621" s="6">
        <v>141</v>
      </c>
      <c r="D1621" s="17">
        <v>111.7</v>
      </c>
      <c r="E1621" s="1">
        <f t="shared" si="150"/>
        <v>0.34722222222222221</v>
      </c>
      <c r="F1621">
        <f t="shared" si="151"/>
        <v>343.74468749074072</v>
      </c>
      <c r="G1621">
        <f t="shared" si="152"/>
        <v>1039.6261487347783</v>
      </c>
      <c r="I1621">
        <f t="shared" si="153"/>
        <v>5.5555555555555556E-4</v>
      </c>
      <c r="J1621">
        <f t="shared" si="154"/>
        <v>0.47742317707047321</v>
      </c>
      <c r="K1621">
        <f t="shared" si="155"/>
        <v>2.4951027569634681</v>
      </c>
    </row>
    <row r="1622" spans="1:11" x14ac:dyDescent="0.35">
      <c r="A1622" s="6" t="s">
        <v>9</v>
      </c>
      <c r="B1622" s="6">
        <v>1619</v>
      </c>
      <c r="C1622" s="6">
        <v>142</v>
      </c>
      <c r="D1622" s="17">
        <v>113</v>
      </c>
      <c r="E1622" s="1">
        <f t="shared" si="150"/>
        <v>0.33333333333333215</v>
      </c>
      <c r="F1622">
        <f t="shared" si="151"/>
        <v>340.18126018518461</v>
      </c>
      <c r="G1622">
        <f t="shared" si="152"/>
        <v>1051.7256473324078</v>
      </c>
      <c r="I1622">
        <f t="shared" si="153"/>
        <v>5.5555555555555556E-4</v>
      </c>
      <c r="J1622">
        <f t="shared" si="154"/>
        <v>0.47247397247942308</v>
      </c>
      <c r="K1622">
        <f t="shared" si="155"/>
        <v>2.5241415535977789</v>
      </c>
    </row>
    <row r="1623" spans="1:11" x14ac:dyDescent="0.35">
      <c r="A1623" s="6" t="s">
        <v>9</v>
      </c>
      <c r="B1623" s="6">
        <v>1620</v>
      </c>
      <c r="C1623" s="6">
        <v>143</v>
      </c>
      <c r="D1623" s="17">
        <v>114.1</v>
      </c>
      <c r="E1623" s="1">
        <f t="shared" si="150"/>
        <v>0.29166666666666585</v>
      </c>
      <c r="F1623">
        <f t="shared" si="151"/>
        <v>323.5500603796292</v>
      </c>
      <c r="G1623">
        <f t="shared" si="152"/>
        <v>1061.9636846073251</v>
      </c>
      <c r="I1623">
        <f t="shared" si="153"/>
        <v>5.5555555555555556E-4</v>
      </c>
      <c r="J1623">
        <f t="shared" si="154"/>
        <v>0.4493750838605961</v>
      </c>
      <c r="K1623">
        <f t="shared" si="155"/>
        <v>2.5487128430575803</v>
      </c>
    </row>
    <row r="1624" spans="1:11" x14ac:dyDescent="0.35">
      <c r="A1624" s="6" t="s">
        <v>9</v>
      </c>
      <c r="B1624" s="6">
        <v>1621</v>
      </c>
      <c r="C1624" s="6">
        <v>144</v>
      </c>
      <c r="D1624" s="17">
        <v>115.1</v>
      </c>
      <c r="E1624" s="1">
        <f t="shared" si="150"/>
        <v>0.25000000000000155</v>
      </c>
      <c r="F1624">
        <f t="shared" si="151"/>
        <v>306.72342815740814</v>
      </c>
      <c r="G1624">
        <f t="shared" si="152"/>
        <v>1071.2709912208863</v>
      </c>
      <c r="I1624">
        <f t="shared" si="153"/>
        <v>5.5555555555555556E-4</v>
      </c>
      <c r="J1624">
        <f t="shared" si="154"/>
        <v>0.42600476132973353</v>
      </c>
      <c r="K1624">
        <f t="shared" si="155"/>
        <v>2.5710503789301273</v>
      </c>
    </row>
    <row r="1625" spans="1:11" x14ac:dyDescent="0.35">
      <c r="A1625" s="6" t="s">
        <v>9</v>
      </c>
      <c r="B1625" s="6">
        <v>1622</v>
      </c>
      <c r="C1625" s="6">
        <v>145</v>
      </c>
      <c r="D1625" s="17">
        <v>115.9</v>
      </c>
      <c r="E1625" s="1">
        <f t="shared" si="150"/>
        <v>0.19444444444444522</v>
      </c>
      <c r="F1625">
        <f t="shared" si="151"/>
        <v>283.14244371296326</v>
      </c>
      <c r="G1625">
        <f t="shared" si="152"/>
        <v>1078.7168365117352</v>
      </c>
      <c r="I1625">
        <f t="shared" si="153"/>
        <v>5.5555555555555556E-4</v>
      </c>
      <c r="J1625">
        <f t="shared" si="154"/>
        <v>0.3932533940457823</v>
      </c>
      <c r="K1625">
        <f t="shared" si="155"/>
        <v>2.5889204076281644</v>
      </c>
    </row>
    <row r="1626" spans="1:11" x14ac:dyDescent="0.35">
      <c r="A1626" s="6" t="s">
        <v>9</v>
      </c>
      <c r="B1626" s="6">
        <v>1623</v>
      </c>
      <c r="C1626" s="6">
        <v>146</v>
      </c>
      <c r="D1626" s="17">
        <v>116.5</v>
      </c>
      <c r="E1626" s="1">
        <f t="shared" si="150"/>
        <v>0.11111111111111072</v>
      </c>
      <c r="F1626">
        <f t="shared" si="151"/>
        <v>246.46467060185159</v>
      </c>
      <c r="G1626">
        <f t="shared" si="152"/>
        <v>1084.3012204798717</v>
      </c>
      <c r="I1626">
        <f t="shared" si="153"/>
        <v>5.5555555555555556E-4</v>
      </c>
      <c r="J1626">
        <f t="shared" si="154"/>
        <v>0.34231204250257163</v>
      </c>
      <c r="K1626">
        <f t="shared" si="155"/>
        <v>2.6023229291516921</v>
      </c>
    </row>
    <row r="1627" spans="1:11" x14ac:dyDescent="0.35">
      <c r="A1627" s="6" t="s">
        <v>9</v>
      </c>
      <c r="B1627" s="6">
        <v>1624</v>
      </c>
      <c r="C1627" s="6">
        <v>147</v>
      </c>
      <c r="D1627" s="17">
        <v>116.7</v>
      </c>
      <c r="E1627" s="1">
        <f t="shared" si="150"/>
        <v>1.3888888888888099E-2</v>
      </c>
      <c r="F1627">
        <f t="shared" si="151"/>
        <v>202.57359674999961</v>
      </c>
      <c r="G1627">
        <f t="shared" si="152"/>
        <v>1086.1626818025841</v>
      </c>
      <c r="I1627">
        <f t="shared" si="153"/>
        <v>5.5555555555555556E-4</v>
      </c>
      <c r="J1627">
        <f t="shared" si="154"/>
        <v>0.2813522177083328</v>
      </c>
      <c r="K1627">
        <f t="shared" si="155"/>
        <v>2.6067904363262016</v>
      </c>
    </row>
    <row r="1628" spans="1:11" x14ac:dyDescent="0.35">
      <c r="A1628" s="6" t="s">
        <v>9</v>
      </c>
      <c r="B1628" s="6">
        <v>1625</v>
      </c>
      <c r="C1628" s="6">
        <v>148</v>
      </c>
      <c r="D1628" s="17">
        <v>116.6</v>
      </c>
      <c r="E1628" s="1">
        <f t="shared" si="150"/>
        <v>-6.9444444444444448E-2</v>
      </c>
      <c r="F1628">
        <f t="shared" si="151"/>
        <v>164.35237218518515</v>
      </c>
      <c r="G1628">
        <f t="shared" si="152"/>
        <v>1085.2319511412279</v>
      </c>
      <c r="I1628">
        <f t="shared" si="153"/>
        <v>5.5555555555555556E-4</v>
      </c>
      <c r="J1628">
        <f t="shared" si="154"/>
        <v>0.22826718359053494</v>
      </c>
      <c r="K1628">
        <f t="shared" si="155"/>
        <v>2.6045566827389468</v>
      </c>
    </row>
    <row r="1629" spans="1:11" x14ac:dyDescent="0.35">
      <c r="A1629" s="6" t="s">
        <v>9</v>
      </c>
      <c r="B1629" s="6">
        <v>1626</v>
      </c>
      <c r="C1629" s="6">
        <v>149</v>
      </c>
      <c r="D1629" s="17">
        <v>116.2</v>
      </c>
      <c r="E1629" s="1">
        <f t="shared" si="150"/>
        <v>-0.19444444444444325</v>
      </c>
      <c r="F1629">
        <f t="shared" si="151"/>
        <v>106.46937040740796</v>
      </c>
      <c r="G1629">
        <f t="shared" si="152"/>
        <v>1081.5090284958035</v>
      </c>
      <c r="I1629">
        <f t="shared" si="153"/>
        <v>5.5555555555555556E-4</v>
      </c>
      <c r="J1629">
        <f t="shared" si="154"/>
        <v>0.14787412556584439</v>
      </c>
      <c r="K1629">
        <f t="shared" si="155"/>
        <v>2.5956216683899282</v>
      </c>
    </row>
    <row r="1630" spans="1:11" x14ac:dyDescent="0.35">
      <c r="A1630" s="6" t="s">
        <v>9</v>
      </c>
      <c r="B1630" s="6">
        <v>1627</v>
      </c>
      <c r="C1630" s="6">
        <v>150</v>
      </c>
      <c r="D1630" s="17">
        <v>115.2</v>
      </c>
      <c r="E1630" s="1">
        <f t="shared" si="150"/>
        <v>-0.33333333333333409</v>
      </c>
      <c r="F1630">
        <f t="shared" si="151"/>
        <v>40.941807999999668</v>
      </c>
      <c r="G1630">
        <f t="shared" si="152"/>
        <v>1072.2017218822423</v>
      </c>
      <c r="I1630">
        <f t="shared" si="153"/>
        <v>5.5555555555555556E-4</v>
      </c>
      <c r="J1630">
        <f t="shared" si="154"/>
        <v>5.6863622222221757E-2</v>
      </c>
      <c r="K1630">
        <f t="shared" si="155"/>
        <v>2.5732841325173816</v>
      </c>
    </row>
    <row r="1631" spans="1:11" x14ac:dyDescent="0.35">
      <c r="A1631" s="6" t="s">
        <v>9</v>
      </c>
      <c r="B1631" s="6">
        <v>1628</v>
      </c>
      <c r="C1631" s="6">
        <v>151</v>
      </c>
      <c r="D1631" s="17">
        <v>113.8</v>
      </c>
      <c r="E1631" s="1">
        <f t="shared" si="150"/>
        <v>-0.44444444444444481</v>
      </c>
      <c r="F1631">
        <f t="shared" si="151"/>
        <v>0</v>
      </c>
      <c r="G1631">
        <f t="shared" si="152"/>
        <v>1059.1714926232569</v>
      </c>
      <c r="I1631">
        <f t="shared" si="153"/>
        <v>5.5555555555555556E-4</v>
      </c>
      <c r="J1631">
        <f t="shared" si="154"/>
        <v>0</v>
      </c>
      <c r="K1631">
        <f t="shared" si="155"/>
        <v>2.5420115822958165</v>
      </c>
    </row>
    <row r="1632" spans="1:11" x14ac:dyDescent="0.35">
      <c r="A1632" s="6" t="s">
        <v>9</v>
      </c>
      <c r="B1632" s="6">
        <v>1629</v>
      </c>
      <c r="C1632" s="6">
        <v>152</v>
      </c>
      <c r="D1632" s="17">
        <v>112</v>
      </c>
      <c r="E1632" s="1">
        <f t="shared" si="150"/>
        <v>-0.51388888888888928</v>
      </c>
      <c r="F1632">
        <f t="shared" si="151"/>
        <v>0</v>
      </c>
      <c r="G1632">
        <f t="shared" si="152"/>
        <v>1042.4183407188468</v>
      </c>
      <c r="I1632">
        <f t="shared" si="153"/>
        <v>5.5555555555555556E-4</v>
      </c>
      <c r="J1632">
        <f t="shared" si="154"/>
        <v>0</v>
      </c>
      <c r="K1632">
        <f t="shared" si="155"/>
        <v>2.5018040177252323</v>
      </c>
    </row>
    <row r="1633" spans="1:11" x14ac:dyDescent="0.35">
      <c r="A1633" s="6" t="s">
        <v>9</v>
      </c>
      <c r="B1633" s="6">
        <v>1630</v>
      </c>
      <c r="C1633" s="6">
        <v>153</v>
      </c>
      <c r="D1633" s="17">
        <v>110.1</v>
      </c>
      <c r="E1633" s="1">
        <f t="shared" si="150"/>
        <v>-0.51388888888888928</v>
      </c>
      <c r="F1633">
        <f t="shared" si="151"/>
        <v>0</v>
      </c>
      <c r="G1633">
        <f t="shared" si="152"/>
        <v>1024.7344581530806</v>
      </c>
      <c r="I1633">
        <f t="shared" si="153"/>
        <v>5.5555555555555556E-4</v>
      </c>
      <c r="J1633">
        <f t="shared" si="154"/>
        <v>0</v>
      </c>
      <c r="K1633">
        <f t="shared" si="155"/>
        <v>2.4593626995673934</v>
      </c>
    </row>
    <row r="1634" spans="1:11" x14ac:dyDescent="0.35">
      <c r="A1634" s="6" t="s">
        <v>9</v>
      </c>
      <c r="B1634" s="6">
        <v>1631</v>
      </c>
      <c r="C1634" s="6">
        <v>154</v>
      </c>
      <c r="D1634" s="17">
        <v>108.3</v>
      </c>
      <c r="E1634" s="1">
        <f t="shared" si="150"/>
        <v>-0.43055555555555475</v>
      </c>
      <c r="F1634">
        <f t="shared" si="151"/>
        <v>0</v>
      </c>
      <c r="G1634">
        <f t="shared" si="152"/>
        <v>1007.9813062486705</v>
      </c>
      <c r="I1634">
        <f t="shared" si="153"/>
        <v>5.5555555555555556E-4</v>
      </c>
      <c r="J1634">
        <f t="shared" si="154"/>
        <v>0</v>
      </c>
      <c r="K1634">
        <f t="shared" si="155"/>
        <v>2.4191551349968097</v>
      </c>
    </row>
    <row r="1635" spans="1:11" x14ac:dyDescent="0.35">
      <c r="A1635" s="6" t="s">
        <v>9</v>
      </c>
      <c r="B1635" s="6">
        <v>1632</v>
      </c>
      <c r="C1635" s="6">
        <v>155</v>
      </c>
      <c r="D1635" s="17">
        <v>107</v>
      </c>
      <c r="E1635" s="1">
        <f t="shared" si="150"/>
        <v>-0.30555555555555597</v>
      </c>
      <c r="F1635">
        <f t="shared" si="151"/>
        <v>36.331149074073871</v>
      </c>
      <c r="G1635">
        <f t="shared" si="152"/>
        <v>995.88180765104107</v>
      </c>
      <c r="I1635">
        <f t="shared" si="153"/>
        <v>5.5555555555555556E-4</v>
      </c>
      <c r="J1635">
        <f t="shared" si="154"/>
        <v>5.0459929269547045E-2</v>
      </c>
      <c r="K1635">
        <f t="shared" si="155"/>
        <v>2.3901163383624988</v>
      </c>
    </row>
    <row r="1636" spans="1:11" x14ac:dyDescent="0.35">
      <c r="A1636" s="6" t="s">
        <v>9</v>
      </c>
      <c r="B1636" s="6">
        <v>1633</v>
      </c>
      <c r="C1636" s="6">
        <v>156</v>
      </c>
      <c r="D1636" s="17">
        <v>106.1</v>
      </c>
      <c r="E1636" s="1">
        <f t="shared" si="150"/>
        <v>-0.16666666666666705</v>
      </c>
      <c r="F1636">
        <f t="shared" si="151"/>
        <v>97.845851490740571</v>
      </c>
      <c r="G1636">
        <f t="shared" si="152"/>
        <v>987.50523169883604</v>
      </c>
      <c r="I1636">
        <f t="shared" si="153"/>
        <v>5.5555555555555556E-4</v>
      </c>
      <c r="J1636">
        <f t="shared" si="154"/>
        <v>0.13589701595936191</v>
      </c>
      <c r="K1636">
        <f t="shared" si="155"/>
        <v>2.3700125560772065</v>
      </c>
    </row>
    <row r="1637" spans="1:11" x14ac:dyDescent="0.35">
      <c r="A1637" s="6" t="s">
        <v>9</v>
      </c>
      <c r="B1637" s="6">
        <v>1634</v>
      </c>
      <c r="C1637" s="6">
        <v>157</v>
      </c>
      <c r="D1637" s="17">
        <v>105.8</v>
      </c>
      <c r="E1637" s="1">
        <f t="shared" si="150"/>
        <v>-5.5555555555554373E-2</v>
      </c>
      <c r="F1637">
        <f t="shared" si="151"/>
        <v>147.90972151851904</v>
      </c>
      <c r="G1637">
        <f t="shared" si="152"/>
        <v>984.71303971476777</v>
      </c>
      <c r="I1637">
        <f t="shared" si="153"/>
        <v>5.5555555555555556E-4</v>
      </c>
      <c r="J1637">
        <f t="shared" si="154"/>
        <v>0.20543016877572087</v>
      </c>
      <c r="K1637">
        <f t="shared" si="155"/>
        <v>2.3633112953154427</v>
      </c>
    </row>
    <row r="1638" spans="1:11" x14ac:dyDescent="0.35">
      <c r="A1638" s="6" t="s">
        <v>9</v>
      </c>
      <c r="B1638" s="6">
        <v>1635</v>
      </c>
      <c r="C1638" s="6">
        <v>158</v>
      </c>
      <c r="D1638" s="17">
        <v>105.7</v>
      </c>
      <c r="E1638" s="1">
        <f t="shared" si="150"/>
        <v>-1.3888888888888099E-2</v>
      </c>
      <c r="F1638">
        <f t="shared" si="151"/>
        <v>166.70916860185221</v>
      </c>
      <c r="G1638">
        <f t="shared" si="152"/>
        <v>983.78230905341161</v>
      </c>
      <c r="I1638">
        <f t="shared" si="153"/>
        <v>5.5555555555555556E-4</v>
      </c>
      <c r="J1638">
        <f t="shared" si="154"/>
        <v>0.23154051194701697</v>
      </c>
      <c r="K1638">
        <f t="shared" si="155"/>
        <v>2.361077541728188</v>
      </c>
    </row>
    <row r="1639" spans="1:11" x14ac:dyDescent="0.35">
      <c r="A1639" s="6" t="s">
        <v>9</v>
      </c>
      <c r="B1639" s="6">
        <v>1636</v>
      </c>
      <c r="C1639" s="6">
        <v>159</v>
      </c>
      <c r="D1639" s="17">
        <v>105.7</v>
      </c>
      <c r="E1639" s="1">
        <f t="shared" si="150"/>
        <v>-1.3888888888890073E-2</v>
      </c>
      <c r="F1639">
        <f t="shared" si="151"/>
        <v>166.7091686018513</v>
      </c>
      <c r="G1639">
        <f t="shared" si="152"/>
        <v>983.78230905341161</v>
      </c>
      <c r="I1639">
        <f t="shared" si="153"/>
        <v>5.5555555555555556E-4</v>
      </c>
      <c r="J1639">
        <f t="shared" si="154"/>
        <v>0.23154051194701569</v>
      </c>
      <c r="K1639">
        <f t="shared" si="155"/>
        <v>2.361077541728188</v>
      </c>
    </row>
    <row r="1640" spans="1:11" x14ac:dyDescent="0.35">
      <c r="A1640" s="6" t="s">
        <v>9</v>
      </c>
      <c r="B1640" s="6">
        <v>1637</v>
      </c>
      <c r="C1640" s="6">
        <v>160</v>
      </c>
      <c r="D1640" s="17">
        <v>105.6</v>
      </c>
      <c r="E1640" s="1">
        <f t="shared" si="150"/>
        <v>-5.5555555555556344E-2</v>
      </c>
      <c r="F1640">
        <f t="shared" si="151"/>
        <v>147.50880533333296</v>
      </c>
      <c r="G1640">
        <f t="shared" si="152"/>
        <v>982.85157839205556</v>
      </c>
      <c r="I1640">
        <f t="shared" si="153"/>
        <v>5.5555555555555556E-4</v>
      </c>
      <c r="J1640">
        <f t="shared" si="154"/>
        <v>0.20487334074074021</v>
      </c>
      <c r="K1640">
        <f t="shared" si="155"/>
        <v>2.3588437881409332</v>
      </c>
    </row>
    <row r="1641" spans="1:11" x14ac:dyDescent="0.35">
      <c r="A1641" s="6" t="s">
        <v>9</v>
      </c>
      <c r="B1641" s="6">
        <v>1638</v>
      </c>
      <c r="C1641" s="6">
        <v>161</v>
      </c>
      <c r="D1641" s="17">
        <v>105.3</v>
      </c>
      <c r="E1641" s="1">
        <f t="shared" si="150"/>
        <v>-9.7222222222220642E-2</v>
      </c>
      <c r="F1641">
        <f t="shared" si="151"/>
        <v>127.90885341666738</v>
      </c>
      <c r="G1641">
        <f t="shared" si="152"/>
        <v>980.05938640798718</v>
      </c>
      <c r="I1641">
        <f t="shared" si="153"/>
        <v>5.5555555555555556E-4</v>
      </c>
      <c r="J1641">
        <f t="shared" si="154"/>
        <v>0.17765118530092691</v>
      </c>
      <c r="K1641">
        <f t="shared" si="155"/>
        <v>2.3521425273791694</v>
      </c>
    </row>
    <row r="1642" spans="1:11" x14ac:dyDescent="0.35">
      <c r="A1642" s="6" t="s">
        <v>9</v>
      </c>
      <c r="B1642" s="6">
        <v>1639</v>
      </c>
      <c r="C1642" s="6">
        <v>162</v>
      </c>
      <c r="D1642" s="17">
        <v>104.9</v>
      </c>
      <c r="E1642" s="1">
        <f t="shared" si="150"/>
        <v>-0.12499999999999881</v>
      </c>
      <c r="F1642">
        <f t="shared" si="151"/>
        <v>114.44490593518573</v>
      </c>
      <c r="G1642">
        <f t="shared" si="152"/>
        <v>976.33646376256274</v>
      </c>
      <c r="I1642">
        <f t="shared" si="153"/>
        <v>5.5555555555555556E-4</v>
      </c>
      <c r="J1642">
        <f t="shared" si="154"/>
        <v>0.15895125824331352</v>
      </c>
      <c r="K1642">
        <f t="shared" si="155"/>
        <v>2.3432075130301508</v>
      </c>
    </row>
    <row r="1643" spans="1:11" x14ac:dyDescent="0.35">
      <c r="A1643" s="6" t="s">
        <v>9</v>
      </c>
      <c r="B1643" s="6">
        <v>1640</v>
      </c>
      <c r="C1643" s="6">
        <v>163</v>
      </c>
      <c r="D1643" s="17">
        <v>104.4</v>
      </c>
      <c r="E1643" s="1">
        <f t="shared" si="150"/>
        <v>-0.12500000000000078</v>
      </c>
      <c r="F1643">
        <f t="shared" si="151"/>
        <v>113.45257199999963</v>
      </c>
      <c r="G1643">
        <f t="shared" si="152"/>
        <v>971.68281045578215</v>
      </c>
      <c r="I1643">
        <f t="shared" si="153"/>
        <v>5.5555555555555556E-4</v>
      </c>
      <c r="J1643">
        <f t="shared" si="154"/>
        <v>0.15757301666666615</v>
      </c>
      <c r="K1643">
        <f t="shared" si="155"/>
        <v>2.3320387450938771</v>
      </c>
    </row>
    <row r="1644" spans="1:11" x14ac:dyDescent="0.35">
      <c r="A1644" s="6" t="s">
        <v>9</v>
      </c>
      <c r="B1644" s="6">
        <v>1641</v>
      </c>
      <c r="C1644" s="6">
        <v>164</v>
      </c>
      <c r="D1644" s="17">
        <v>104</v>
      </c>
      <c r="E1644" s="1">
        <f t="shared" si="150"/>
        <v>-8.3333333333334522E-2</v>
      </c>
      <c r="F1644">
        <f t="shared" si="151"/>
        <v>131.66211851851796</v>
      </c>
      <c r="G1644">
        <f t="shared" si="152"/>
        <v>967.95988781035771</v>
      </c>
      <c r="I1644">
        <f t="shared" si="153"/>
        <v>5.5555555555555556E-4</v>
      </c>
      <c r="J1644">
        <f t="shared" si="154"/>
        <v>0.1828640534979416</v>
      </c>
      <c r="K1644">
        <f t="shared" si="155"/>
        <v>2.3231037307448585</v>
      </c>
    </row>
    <row r="1645" spans="1:11" x14ac:dyDescent="0.35">
      <c r="A1645" s="6" t="s">
        <v>9</v>
      </c>
      <c r="B1645" s="6">
        <v>1642</v>
      </c>
      <c r="C1645" s="6">
        <v>165</v>
      </c>
      <c r="D1645" s="17">
        <v>103.8</v>
      </c>
      <c r="E1645" s="1">
        <f t="shared" si="150"/>
        <v>-1.3888888888888099E-2</v>
      </c>
      <c r="F1645">
        <f t="shared" si="151"/>
        <v>162.9346963333337</v>
      </c>
      <c r="G1645">
        <f t="shared" si="152"/>
        <v>966.0984264876455</v>
      </c>
      <c r="I1645">
        <f t="shared" si="153"/>
        <v>5.5555555555555556E-4</v>
      </c>
      <c r="J1645">
        <f t="shared" si="154"/>
        <v>0.22629818935185236</v>
      </c>
      <c r="K1645">
        <f t="shared" si="155"/>
        <v>2.318636223570349</v>
      </c>
    </row>
    <row r="1646" spans="1:11" x14ac:dyDescent="0.35">
      <c r="A1646" s="6" t="s">
        <v>9</v>
      </c>
      <c r="B1646" s="6">
        <v>1643</v>
      </c>
      <c r="C1646" s="6">
        <v>166</v>
      </c>
      <c r="D1646" s="17">
        <v>103.9</v>
      </c>
      <c r="E1646" s="1">
        <f t="shared" si="150"/>
        <v>8.3333333333334522E-2</v>
      </c>
      <c r="F1646">
        <f t="shared" si="151"/>
        <v>207.46497926851904</v>
      </c>
      <c r="G1646">
        <f t="shared" si="152"/>
        <v>967.02915714900155</v>
      </c>
      <c r="I1646">
        <f t="shared" si="153"/>
        <v>5.5555555555555556E-4</v>
      </c>
      <c r="J1646">
        <f t="shared" si="154"/>
        <v>0.28814580453960981</v>
      </c>
      <c r="K1646">
        <f t="shared" si="155"/>
        <v>2.3208699771576038</v>
      </c>
    </row>
    <row r="1647" spans="1:11" x14ac:dyDescent="0.35">
      <c r="A1647" s="6" t="s">
        <v>9</v>
      </c>
      <c r="B1647" s="6">
        <v>1644</v>
      </c>
      <c r="C1647" s="6">
        <v>167</v>
      </c>
      <c r="D1647" s="17">
        <v>104.4</v>
      </c>
      <c r="E1647" s="1">
        <f t="shared" si="150"/>
        <v>0.16666666666666508</v>
      </c>
      <c r="F1647">
        <f t="shared" si="151"/>
        <v>246.45257199999926</v>
      </c>
      <c r="G1647">
        <f t="shared" si="152"/>
        <v>971.68281045578215</v>
      </c>
      <c r="I1647">
        <f t="shared" si="153"/>
        <v>5.5555555555555556E-4</v>
      </c>
      <c r="J1647">
        <f t="shared" si="154"/>
        <v>0.34229523888888785</v>
      </c>
      <c r="K1647">
        <f t="shared" si="155"/>
        <v>2.3320387450938771</v>
      </c>
    </row>
    <row r="1648" spans="1:11" x14ac:dyDescent="0.35">
      <c r="A1648" s="6" t="s">
        <v>9</v>
      </c>
      <c r="B1648" s="6">
        <v>1645</v>
      </c>
      <c r="C1648" s="6">
        <v>168</v>
      </c>
      <c r="D1648" s="17">
        <v>105.1</v>
      </c>
      <c r="E1648" s="1">
        <f t="shared" si="150"/>
        <v>0.23611111111110952</v>
      </c>
      <c r="F1648">
        <f t="shared" si="151"/>
        <v>279.50983371296218</v>
      </c>
      <c r="G1648">
        <f t="shared" si="152"/>
        <v>978.19792508527496</v>
      </c>
      <c r="I1648">
        <f t="shared" si="153"/>
        <v>5.5555555555555556E-4</v>
      </c>
      <c r="J1648">
        <f t="shared" si="154"/>
        <v>0.38820810237911413</v>
      </c>
      <c r="K1648">
        <f t="shared" si="155"/>
        <v>2.3476750202046599</v>
      </c>
    </row>
    <row r="1649" spans="1:11" x14ac:dyDescent="0.35">
      <c r="A1649" s="6" t="s">
        <v>9</v>
      </c>
      <c r="B1649" s="6">
        <v>1646</v>
      </c>
      <c r="C1649" s="6">
        <v>169</v>
      </c>
      <c r="D1649" s="17">
        <v>106.1</v>
      </c>
      <c r="E1649" s="1">
        <f t="shared" si="150"/>
        <v>0.29166666666666785</v>
      </c>
      <c r="F1649">
        <f t="shared" si="151"/>
        <v>306.84585149074132</v>
      </c>
      <c r="G1649">
        <f t="shared" si="152"/>
        <v>987.50523169883604</v>
      </c>
      <c r="I1649">
        <f t="shared" si="153"/>
        <v>5.5555555555555556E-4</v>
      </c>
      <c r="J1649">
        <f t="shared" si="154"/>
        <v>0.42617479373714073</v>
      </c>
      <c r="K1649">
        <f t="shared" si="155"/>
        <v>2.3700125560772065</v>
      </c>
    </row>
    <row r="1650" spans="1:11" x14ac:dyDescent="0.35">
      <c r="A1650" s="6" t="s">
        <v>9</v>
      </c>
      <c r="B1650" s="6">
        <v>1647</v>
      </c>
      <c r="C1650" s="6">
        <v>170</v>
      </c>
      <c r="D1650" s="17">
        <v>107.2</v>
      </c>
      <c r="E1650" s="1">
        <f t="shared" si="150"/>
        <v>0.33333333333333409</v>
      </c>
      <c r="F1650">
        <f t="shared" si="151"/>
        <v>328.07070874074105</v>
      </c>
      <c r="G1650">
        <f t="shared" si="152"/>
        <v>997.74326897375329</v>
      </c>
      <c r="I1650">
        <f t="shared" si="153"/>
        <v>5.5555555555555556E-4</v>
      </c>
      <c r="J1650">
        <f t="shared" si="154"/>
        <v>0.45565376213991815</v>
      </c>
      <c r="K1650">
        <f t="shared" si="155"/>
        <v>2.3945838455370079</v>
      </c>
    </row>
    <row r="1651" spans="1:11" x14ac:dyDescent="0.35">
      <c r="A1651" s="6" t="s">
        <v>9</v>
      </c>
      <c r="B1651" s="6">
        <v>1648</v>
      </c>
      <c r="C1651" s="6">
        <v>171</v>
      </c>
      <c r="D1651" s="17">
        <v>108.5</v>
      </c>
      <c r="E1651" s="1">
        <f t="shared" si="150"/>
        <v>0.37500000000000039</v>
      </c>
      <c r="F1651">
        <f t="shared" si="151"/>
        <v>349.72967060185198</v>
      </c>
      <c r="G1651">
        <f t="shared" si="152"/>
        <v>1009.8427675713828</v>
      </c>
      <c r="I1651">
        <f t="shared" si="153"/>
        <v>5.5555555555555556E-4</v>
      </c>
      <c r="J1651">
        <f t="shared" si="154"/>
        <v>0.48573565361368332</v>
      </c>
      <c r="K1651">
        <f t="shared" si="155"/>
        <v>2.4236226421713187</v>
      </c>
    </row>
    <row r="1652" spans="1:11" x14ac:dyDescent="0.35">
      <c r="A1652" s="6" t="s">
        <v>9</v>
      </c>
      <c r="B1652" s="6">
        <v>1649</v>
      </c>
      <c r="C1652" s="6">
        <v>172</v>
      </c>
      <c r="D1652" s="17">
        <v>109.9</v>
      </c>
      <c r="E1652" s="1">
        <f t="shared" si="150"/>
        <v>0.38888888888888851</v>
      </c>
      <c r="F1652">
        <f t="shared" si="151"/>
        <v>358.96234482407385</v>
      </c>
      <c r="G1652">
        <f t="shared" si="152"/>
        <v>1022.8729968303684</v>
      </c>
      <c r="I1652">
        <f t="shared" si="153"/>
        <v>5.5555555555555556E-4</v>
      </c>
      <c r="J1652">
        <f t="shared" si="154"/>
        <v>0.49855881225565812</v>
      </c>
      <c r="K1652">
        <f t="shared" si="155"/>
        <v>2.4548951923928839</v>
      </c>
    </row>
    <row r="1653" spans="1:11" x14ac:dyDescent="0.35">
      <c r="A1653" s="6" t="s">
        <v>9</v>
      </c>
      <c r="B1653" s="6">
        <v>1650</v>
      </c>
      <c r="C1653" s="6">
        <v>173</v>
      </c>
      <c r="D1653" s="17">
        <v>111.3</v>
      </c>
      <c r="E1653" s="1">
        <f t="shared" si="150"/>
        <v>0.38888888888888851</v>
      </c>
      <c r="F1653">
        <f t="shared" si="151"/>
        <v>361.89885674999977</v>
      </c>
      <c r="G1653">
        <f t="shared" si="152"/>
        <v>1035.9032260893539</v>
      </c>
      <c r="I1653">
        <f t="shared" si="153"/>
        <v>5.5555555555555556E-4</v>
      </c>
      <c r="J1653">
        <f t="shared" si="154"/>
        <v>0.50263730104166637</v>
      </c>
      <c r="K1653">
        <f t="shared" si="155"/>
        <v>2.4861677426144495</v>
      </c>
    </row>
    <row r="1654" spans="1:11" x14ac:dyDescent="0.35">
      <c r="A1654" s="6" t="s">
        <v>9</v>
      </c>
      <c r="B1654" s="6">
        <v>1651</v>
      </c>
      <c r="C1654" s="6">
        <v>174</v>
      </c>
      <c r="D1654" s="17">
        <v>112.7</v>
      </c>
      <c r="E1654" s="1">
        <f t="shared" si="150"/>
        <v>0.36111111111111227</v>
      </c>
      <c r="F1654">
        <f t="shared" si="151"/>
        <v>352.20587304629686</v>
      </c>
      <c r="G1654">
        <f t="shared" si="152"/>
        <v>1048.9334553483395</v>
      </c>
      <c r="I1654">
        <f t="shared" si="153"/>
        <v>5.5555555555555556E-4</v>
      </c>
      <c r="J1654">
        <f t="shared" si="154"/>
        <v>0.48917482367541232</v>
      </c>
      <c r="K1654">
        <f t="shared" si="155"/>
        <v>2.5174402928360151</v>
      </c>
    </row>
    <row r="1655" spans="1:11" x14ac:dyDescent="0.35">
      <c r="A1655" s="6" t="s">
        <v>9</v>
      </c>
      <c r="B1655" s="6">
        <v>1652</v>
      </c>
      <c r="C1655" s="6">
        <v>175</v>
      </c>
      <c r="D1655" s="17">
        <v>113.9</v>
      </c>
      <c r="E1655" s="1">
        <f t="shared" si="150"/>
        <v>0.31944444444444403</v>
      </c>
      <c r="F1655">
        <f t="shared" si="151"/>
        <v>335.78432926851838</v>
      </c>
      <c r="G1655">
        <f t="shared" si="152"/>
        <v>1060.1022232846128</v>
      </c>
      <c r="I1655">
        <f t="shared" si="153"/>
        <v>5.5555555555555556E-4</v>
      </c>
      <c r="J1655">
        <f t="shared" si="154"/>
        <v>0.46636712398405328</v>
      </c>
      <c r="K1655">
        <f t="shared" si="155"/>
        <v>2.5442453358830708</v>
      </c>
    </row>
    <row r="1656" spans="1:11" x14ac:dyDescent="0.35">
      <c r="A1656" s="6" t="s">
        <v>9</v>
      </c>
      <c r="B1656" s="6">
        <v>1653</v>
      </c>
      <c r="C1656" s="6">
        <v>176</v>
      </c>
      <c r="D1656" s="17">
        <v>115</v>
      </c>
      <c r="E1656" s="1">
        <f t="shared" si="150"/>
        <v>0.29166666666666585</v>
      </c>
      <c r="F1656">
        <f t="shared" si="151"/>
        <v>325.50523796296261</v>
      </c>
      <c r="G1656">
        <f t="shared" si="152"/>
        <v>1070.3402605595302</v>
      </c>
      <c r="I1656">
        <f t="shared" si="153"/>
        <v>5.5555555555555556E-4</v>
      </c>
      <c r="J1656">
        <f t="shared" si="154"/>
        <v>0.45209060828189251</v>
      </c>
      <c r="K1656">
        <f t="shared" si="155"/>
        <v>2.5688166253428726</v>
      </c>
    </row>
    <row r="1657" spans="1:11" x14ac:dyDescent="0.35">
      <c r="A1657" s="6" t="s">
        <v>9</v>
      </c>
      <c r="B1657" s="6">
        <v>1654</v>
      </c>
      <c r="C1657" s="6">
        <v>177</v>
      </c>
      <c r="D1657" s="17">
        <v>116</v>
      </c>
      <c r="E1657" s="1">
        <f t="shared" si="150"/>
        <v>0.24999999999999961</v>
      </c>
      <c r="F1657">
        <f t="shared" si="151"/>
        <v>308.69567407407391</v>
      </c>
      <c r="G1657">
        <f t="shared" si="152"/>
        <v>1079.6475671730914</v>
      </c>
      <c r="I1657">
        <f t="shared" si="153"/>
        <v>5.5555555555555556E-4</v>
      </c>
      <c r="J1657">
        <f t="shared" si="154"/>
        <v>0.42874399176954708</v>
      </c>
      <c r="K1657">
        <f t="shared" si="155"/>
        <v>2.5911541612154192</v>
      </c>
    </row>
    <row r="1658" spans="1:11" x14ac:dyDescent="0.35">
      <c r="A1658" s="6" t="s">
        <v>9</v>
      </c>
      <c r="B1658" s="6">
        <v>1655</v>
      </c>
      <c r="C1658" s="6">
        <v>178</v>
      </c>
      <c r="D1658" s="17">
        <v>116.8</v>
      </c>
      <c r="E1658" s="1">
        <f t="shared" si="150"/>
        <v>0.22222222222222143</v>
      </c>
      <c r="F1658">
        <f t="shared" si="151"/>
        <v>297.79501096296258</v>
      </c>
      <c r="G1658">
        <f t="shared" si="152"/>
        <v>1087.0934124639402</v>
      </c>
      <c r="I1658">
        <f t="shared" si="153"/>
        <v>5.5555555555555556E-4</v>
      </c>
      <c r="J1658">
        <f t="shared" si="154"/>
        <v>0.41360418189300358</v>
      </c>
      <c r="K1658">
        <f t="shared" si="155"/>
        <v>2.6090241899134563</v>
      </c>
    </row>
    <row r="1659" spans="1:11" x14ac:dyDescent="0.35">
      <c r="A1659" s="6" t="s">
        <v>9</v>
      </c>
      <c r="B1659" s="6">
        <v>1656</v>
      </c>
      <c r="C1659" s="6">
        <v>179</v>
      </c>
      <c r="D1659" s="17">
        <v>117.6</v>
      </c>
      <c r="E1659" s="1">
        <f t="shared" si="150"/>
        <v>0.2222222222222234</v>
      </c>
      <c r="F1659">
        <f t="shared" si="151"/>
        <v>299.57315200000045</v>
      </c>
      <c r="G1659">
        <f t="shared" si="152"/>
        <v>1094.5392577547891</v>
      </c>
      <c r="I1659">
        <f t="shared" si="153"/>
        <v>5.5555555555555556E-4</v>
      </c>
      <c r="J1659">
        <f t="shared" si="154"/>
        <v>0.41607382222222283</v>
      </c>
      <c r="K1659">
        <f t="shared" si="155"/>
        <v>2.6268942186114939</v>
      </c>
    </row>
    <row r="1660" spans="1:11" x14ac:dyDescent="0.35">
      <c r="A1660" s="6" t="s">
        <v>9</v>
      </c>
      <c r="B1660" s="6">
        <v>1657</v>
      </c>
      <c r="C1660" s="6">
        <v>180</v>
      </c>
      <c r="D1660" s="17">
        <v>118.4</v>
      </c>
      <c r="E1660" s="1">
        <f t="shared" si="150"/>
        <v>0.2222222222222234</v>
      </c>
      <c r="F1660">
        <f t="shared" si="151"/>
        <v>301.36343051851901</v>
      </c>
      <c r="G1660">
        <f t="shared" si="152"/>
        <v>1101.985103045638</v>
      </c>
      <c r="I1660">
        <f t="shared" si="153"/>
        <v>5.5555555555555556E-4</v>
      </c>
      <c r="J1660">
        <f t="shared" si="154"/>
        <v>0.41856032016460976</v>
      </c>
      <c r="K1660">
        <f t="shared" si="155"/>
        <v>2.644764247309531</v>
      </c>
    </row>
    <row r="1661" spans="1:11" x14ac:dyDescent="0.35">
      <c r="A1661" s="6" t="s">
        <v>9</v>
      </c>
      <c r="B1661" s="6">
        <v>1658</v>
      </c>
      <c r="C1661" s="6">
        <v>181</v>
      </c>
      <c r="D1661" s="17">
        <v>119.2</v>
      </c>
      <c r="E1661" s="1">
        <f t="shared" si="150"/>
        <v>0.22222222222222143</v>
      </c>
      <c r="F1661">
        <f t="shared" si="151"/>
        <v>303.16584651851815</v>
      </c>
      <c r="G1661">
        <f t="shared" si="152"/>
        <v>1109.4309483364868</v>
      </c>
      <c r="I1661">
        <f t="shared" si="153"/>
        <v>5.5555555555555556E-4</v>
      </c>
      <c r="J1661">
        <f t="shared" si="154"/>
        <v>0.42106367572016412</v>
      </c>
      <c r="K1661">
        <f t="shared" si="155"/>
        <v>2.6626342760075685</v>
      </c>
    </row>
    <row r="1662" spans="1:11" x14ac:dyDescent="0.35">
      <c r="A1662" s="6" t="s">
        <v>9</v>
      </c>
      <c r="B1662" s="6">
        <v>1659</v>
      </c>
      <c r="C1662" s="6">
        <v>182</v>
      </c>
      <c r="D1662" s="17">
        <v>120</v>
      </c>
      <c r="E1662" s="1">
        <f t="shared" si="150"/>
        <v>0.22222222222222143</v>
      </c>
      <c r="F1662">
        <f t="shared" si="151"/>
        <v>304.98039999999969</v>
      </c>
      <c r="G1662">
        <f t="shared" si="152"/>
        <v>1116.8767936273357</v>
      </c>
      <c r="I1662">
        <f t="shared" si="153"/>
        <v>5.5555555555555556E-4</v>
      </c>
      <c r="J1662">
        <f t="shared" si="154"/>
        <v>0.42358388888888848</v>
      </c>
      <c r="K1662">
        <f t="shared" si="155"/>
        <v>2.6805043047056056</v>
      </c>
    </row>
    <row r="1663" spans="1:11" x14ac:dyDescent="0.35">
      <c r="A1663" s="6" t="s">
        <v>9</v>
      </c>
      <c r="B1663" s="6">
        <v>1660</v>
      </c>
      <c r="C1663" s="6">
        <v>183</v>
      </c>
      <c r="D1663" s="17">
        <v>120.8</v>
      </c>
      <c r="E1663" s="1">
        <f t="shared" si="150"/>
        <v>0.22222222222222143</v>
      </c>
      <c r="F1663">
        <f t="shared" si="151"/>
        <v>306.8070909629626</v>
      </c>
      <c r="G1663">
        <f t="shared" si="152"/>
        <v>1124.3226389181848</v>
      </c>
      <c r="I1663">
        <f t="shared" si="153"/>
        <v>5.5555555555555556E-4</v>
      </c>
      <c r="J1663">
        <f t="shared" si="154"/>
        <v>0.4261209596707814</v>
      </c>
      <c r="K1663">
        <f t="shared" si="155"/>
        <v>2.6983743334036436</v>
      </c>
    </row>
    <row r="1664" spans="1:11" x14ac:dyDescent="0.35">
      <c r="A1664" s="6" t="s">
        <v>9</v>
      </c>
      <c r="B1664" s="6">
        <v>1661</v>
      </c>
      <c r="C1664" s="6">
        <v>184</v>
      </c>
      <c r="D1664" s="17">
        <v>121.6</v>
      </c>
      <c r="E1664" s="1">
        <f t="shared" si="150"/>
        <v>0.20833333333333331</v>
      </c>
      <c r="F1664">
        <f t="shared" si="151"/>
        <v>302.31258607407403</v>
      </c>
      <c r="G1664">
        <f t="shared" si="152"/>
        <v>1131.7684842090337</v>
      </c>
      <c r="I1664">
        <f t="shared" si="153"/>
        <v>5.5555555555555556E-4</v>
      </c>
      <c r="J1664">
        <f t="shared" si="154"/>
        <v>0.41987859176954728</v>
      </c>
      <c r="K1664">
        <f t="shared" si="155"/>
        <v>2.7162443621016807</v>
      </c>
    </row>
    <row r="1665" spans="1:11" x14ac:dyDescent="0.35">
      <c r="A1665" s="6" t="s">
        <v>9</v>
      </c>
      <c r="B1665" s="6">
        <v>1662</v>
      </c>
      <c r="C1665" s="6">
        <v>185</v>
      </c>
      <c r="D1665" s="17">
        <v>122.3</v>
      </c>
      <c r="E1665" s="1">
        <f t="shared" si="150"/>
        <v>0.20833333333333331</v>
      </c>
      <c r="F1665">
        <f t="shared" si="151"/>
        <v>303.9315174907407</v>
      </c>
      <c r="G1665">
        <f t="shared" si="152"/>
        <v>1138.2835988385264</v>
      </c>
      <c r="I1665">
        <f t="shared" si="153"/>
        <v>5.5555555555555556E-4</v>
      </c>
      <c r="J1665">
        <f t="shared" si="154"/>
        <v>0.42212710762602873</v>
      </c>
      <c r="K1665">
        <f t="shared" si="155"/>
        <v>2.7318806372124635</v>
      </c>
    </row>
    <row r="1666" spans="1:11" x14ac:dyDescent="0.35">
      <c r="A1666" s="6" t="s">
        <v>9</v>
      </c>
      <c r="B1666" s="6">
        <v>1663</v>
      </c>
      <c r="C1666" s="6">
        <v>186</v>
      </c>
      <c r="D1666" s="17">
        <v>123.1</v>
      </c>
      <c r="E1666" s="1">
        <f t="shared" si="150"/>
        <v>0.20833333333333331</v>
      </c>
      <c r="F1666">
        <f t="shared" si="151"/>
        <v>305.79310371296293</v>
      </c>
      <c r="G1666">
        <f t="shared" si="152"/>
        <v>1145.7294441293752</v>
      </c>
      <c r="I1666">
        <f t="shared" si="153"/>
        <v>5.5555555555555556E-4</v>
      </c>
      <c r="J1666">
        <f t="shared" si="154"/>
        <v>0.42471264404578185</v>
      </c>
      <c r="K1666">
        <f t="shared" si="155"/>
        <v>2.7497506659105007</v>
      </c>
    </row>
    <row r="1667" spans="1:11" x14ac:dyDescent="0.35">
      <c r="A1667" s="6" t="s">
        <v>9</v>
      </c>
      <c r="B1667" s="6">
        <v>1664</v>
      </c>
      <c r="C1667" s="6">
        <v>187</v>
      </c>
      <c r="D1667" s="17">
        <v>123.8</v>
      </c>
      <c r="E1667" s="1">
        <f t="shared" si="150"/>
        <v>0.18055555555555713</v>
      </c>
      <c r="F1667">
        <f t="shared" si="151"/>
        <v>294.7652815185192</v>
      </c>
      <c r="G1667">
        <f t="shared" si="152"/>
        <v>1152.2445587588682</v>
      </c>
      <c r="I1667">
        <f t="shared" si="153"/>
        <v>5.5555555555555556E-4</v>
      </c>
      <c r="J1667">
        <f t="shared" si="154"/>
        <v>0.40939622433127665</v>
      </c>
      <c r="K1667">
        <f t="shared" si="155"/>
        <v>2.7653869410212835</v>
      </c>
    </row>
    <row r="1668" spans="1:11" x14ac:dyDescent="0.35">
      <c r="A1668" s="6" t="s">
        <v>9</v>
      </c>
      <c r="B1668" s="6">
        <v>1665</v>
      </c>
      <c r="C1668" s="6">
        <v>188</v>
      </c>
      <c r="D1668" s="17">
        <v>124.4</v>
      </c>
      <c r="E1668" s="1">
        <f t="shared" si="150"/>
        <v>0.16666666666666705</v>
      </c>
      <c r="F1668">
        <f t="shared" si="151"/>
        <v>289.84406829629648</v>
      </c>
      <c r="G1668">
        <f t="shared" si="152"/>
        <v>1157.8289427270047</v>
      </c>
      <c r="I1668">
        <f t="shared" si="153"/>
        <v>5.5555555555555556E-4</v>
      </c>
      <c r="J1668">
        <f t="shared" si="154"/>
        <v>0.40256120596707845</v>
      </c>
      <c r="K1668">
        <f t="shared" si="155"/>
        <v>2.7787894625448115</v>
      </c>
    </row>
    <row r="1669" spans="1:11" x14ac:dyDescent="0.35">
      <c r="A1669" s="6" t="s">
        <v>9</v>
      </c>
      <c r="B1669" s="6">
        <v>1666</v>
      </c>
      <c r="C1669" s="6">
        <v>189</v>
      </c>
      <c r="D1669" s="17">
        <v>125</v>
      </c>
      <c r="E1669" s="1">
        <f t="shared" ref="E1669:E1732" si="156">($D1670-$D1668)/2/3.6</f>
        <v>0.1388888888888889</v>
      </c>
      <c r="F1669">
        <f t="shared" ref="F1669:F1732" si="157">IF(D1669=0,0,MAX(0,0.285*(1600*E1669 + 1600*9.81*0.015 + 0.5*1.225*0.32*2.2*(D1669/3.6)^2)))</f>
        <v>278.59634907407406</v>
      </c>
      <c r="G1669">
        <f t="shared" ref="G1669:G1732" si="158">60*D1669/(2*PI()*3.6*0.285)</f>
        <v>1163.4133266951414</v>
      </c>
      <c r="I1669">
        <f t="shared" ref="I1669:I1732" si="159">1/1800</f>
        <v>5.5555555555555556E-4</v>
      </c>
      <c r="J1669">
        <f t="shared" ref="J1669:J1732" si="160">F1669/(M$3*3.6)</f>
        <v>0.38693937371399173</v>
      </c>
      <c r="K1669">
        <f t="shared" ref="K1669:K1732" si="161">G1669*3.6/N$3</f>
        <v>2.7921919840683396</v>
      </c>
    </row>
    <row r="1670" spans="1:11" x14ac:dyDescent="0.35">
      <c r="A1670" s="6" t="s">
        <v>9</v>
      </c>
      <c r="B1670" s="6">
        <v>1667</v>
      </c>
      <c r="C1670" s="6">
        <v>190</v>
      </c>
      <c r="D1670" s="17">
        <v>125.4</v>
      </c>
      <c r="E1670" s="1">
        <f t="shared" si="156"/>
        <v>0.11111111111111072</v>
      </c>
      <c r="F1670">
        <f t="shared" si="157"/>
        <v>266.87944033333315</v>
      </c>
      <c r="G1670">
        <f t="shared" si="158"/>
        <v>1167.1362493405659</v>
      </c>
      <c r="I1670">
        <f t="shared" si="159"/>
        <v>5.5555555555555556E-4</v>
      </c>
      <c r="J1670">
        <f t="shared" si="160"/>
        <v>0.37066588935185157</v>
      </c>
      <c r="K1670">
        <f t="shared" si="161"/>
        <v>2.8011269984173586</v>
      </c>
    </row>
    <row r="1671" spans="1:11" x14ac:dyDescent="0.35">
      <c r="A1671" s="6" t="s">
        <v>9</v>
      </c>
      <c r="B1671" s="6">
        <v>1668</v>
      </c>
      <c r="C1671" s="6">
        <v>191</v>
      </c>
      <c r="D1671" s="17">
        <v>125.8</v>
      </c>
      <c r="E1671" s="1">
        <f t="shared" si="156"/>
        <v>9.7222222222220642E-2</v>
      </c>
      <c r="F1671">
        <f t="shared" si="157"/>
        <v>261.49889929629552</v>
      </c>
      <c r="G1671">
        <f t="shared" si="158"/>
        <v>1170.8591719859903</v>
      </c>
      <c r="I1671">
        <f t="shared" si="159"/>
        <v>5.5555555555555556E-4</v>
      </c>
      <c r="J1671">
        <f t="shared" si="160"/>
        <v>0.36319291568929934</v>
      </c>
      <c r="K1671">
        <f t="shared" si="161"/>
        <v>2.8100620127663771</v>
      </c>
    </row>
    <row r="1672" spans="1:11" x14ac:dyDescent="0.35">
      <c r="A1672" s="6" t="s">
        <v>9</v>
      </c>
      <c r="B1672" s="6">
        <v>1669</v>
      </c>
      <c r="C1672" s="6">
        <v>192</v>
      </c>
      <c r="D1672" s="17">
        <v>126.1</v>
      </c>
      <c r="E1672" s="1">
        <f t="shared" si="156"/>
        <v>8.3333333333334522E-2</v>
      </c>
      <c r="F1672">
        <f t="shared" si="157"/>
        <v>255.88215149074128</v>
      </c>
      <c r="G1672">
        <f t="shared" si="158"/>
        <v>1173.6513639700588</v>
      </c>
      <c r="I1672">
        <f t="shared" si="159"/>
        <v>5.5555555555555556E-4</v>
      </c>
      <c r="J1672">
        <f t="shared" si="160"/>
        <v>0.35539187707047398</v>
      </c>
      <c r="K1672">
        <f t="shared" si="161"/>
        <v>2.8167632735281409</v>
      </c>
    </row>
    <row r="1673" spans="1:11" x14ac:dyDescent="0.35">
      <c r="A1673" s="6" t="s">
        <v>9</v>
      </c>
      <c r="B1673" s="6">
        <v>1670</v>
      </c>
      <c r="C1673" s="6">
        <v>193</v>
      </c>
      <c r="D1673" s="17">
        <v>126.4</v>
      </c>
      <c r="E1673" s="1">
        <f t="shared" si="156"/>
        <v>6.9444444444444448E-2</v>
      </c>
      <c r="F1673">
        <f t="shared" si="157"/>
        <v>250.26711051851854</v>
      </c>
      <c r="G1673">
        <f t="shared" si="158"/>
        <v>1176.4435559541271</v>
      </c>
      <c r="I1673">
        <f t="shared" si="159"/>
        <v>5.5555555555555556E-4</v>
      </c>
      <c r="J1673">
        <f t="shared" si="160"/>
        <v>0.34759320905349794</v>
      </c>
      <c r="K1673">
        <f t="shared" si="161"/>
        <v>2.8234645342899052</v>
      </c>
    </row>
    <row r="1674" spans="1:11" x14ac:dyDescent="0.35">
      <c r="A1674" s="6" t="s">
        <v>9</v>
      </c>
      <c r="B1674" s="6">
        <v>1671</v>
      </c>
      <c r="C1674" s="6">
        <v>194</v>
      </c>
      <c r="D1674" s="17">
        <v>126.6</v>
      </c>
      <c r="E1674" s="1">
        <f t="shared" si="156"/>
        <v>4.1666666666666269E-2</v>
      </c>
      <c r="F1674">
        <f t="shared" si="157"/>
        <v>238.08025366666644</v>
      </c>
      <c r="G1674">
        <f t="shared" si="158"/>
        <v>1178.3050172768392</v>
      </c>
      <c r="I1674">
        <f t="shared" si="159"/>
        <v>5.5555555555555556E-4</v>
      </c>
      <c r="J1674">
        <f t="shared" si="160"/>
        <v>0.33066701898148115</v>
      </c>
      <c r="K1674">
        <f t="shared" si="161"/>
        <v>2.8279320414644142</v>
      </c>
    </row>
    <row r="1675" spans="1:11" x14ac:dyDescent="0.35">
      <c r="A1675" s="6" t="s">
        <v>9</v>
      </c>
      <c r="B1675" s="6">
        <v>1672</v>
      </c>
      <c r="C1675" s="6">
        <v>195</v>
      </c>
      <c r="D1675" s="17">
        <v>126.7</v>
      </c>
      <c r="E1675" s="1">
        <f t="shared" si="156"/>
        <v>2.7777777777778172E-2</v>
      </c>
      <c r="F1675">
        <f t="shared" si="157"/>
        <v>231.98710971296313</v>
      </c>
      <c r="G1675">
        <f t="shared" si="158"/>
        <v>1179.2357479381953</v>
      </c>
      <c r="I1675">
        <f t="shared" si="159"/>
        <v>5.5555555555555556E-4</v>
      </c>
      <c r="J1675">
        <f t="shared" si="160"/>
        <v>0.32220431904578212</v>
      </c>
      <c r="K1675">
        <f t="shared" si="161"/>
        <v>2.830165795051669</v>
      </c>
    </row>
    <row r="1676" spans="1:11" x14ac:dyDescent="0.35">
      <c r="A1676" s="6" t="s">
        <v>9</v>
      </c>
      <c r="B1676" s="6">
        <v>1673</v>
      </c>
      <c r="C1676" s="6">
        <v>196</v>
      </c>
      <c r="D1676" s="17">
        <v>126.8</v>
      </c>
      <c r="E1676" s="1">
        <f t="shared" si="156"/>
        <v>2.7777777777778172E-2</v>
      </c>
      <c r="F1676">
        <f t="shared" si="157"/>
        <v>232.22748874074091</v>
      </c>
      <c r="G1676">
        <f t="shared" si="158"/>
        <v>1180.1664785995515</v>
      </c>
      <c r="I1676">
        <f t="shared" si="159"/>
        <v>5.5555555555555556E-4</v>
      </c>
      <c r="J1676">
        <f t="shared" si="160"/>
        <v>0.32253817880658459</v>
      </c>
      <c r="K1676">
        <f t="shared" si="161"/>
        <v>2.8323995486389237</v>
      </c>
    </row>
    <row r="1677" spans="1:11" x14ac:dyDescent="0.35">
      <c r="A1677" s="6" t="s">
        <v>9</v>
      </c>
      <c r="B1677" s="6">
        <v>1674</v>
      </c>
      <c r="C1677" s="6">
        <v>197</v>
      </c>
      <c r="D1677" s="17">
        <v>126.9</v>
      </c>
      <c r="E1677" s="1">
        <f t="shared" si="156"/>
        <v>1.3888888888890073E-2</v>
      </c>
      <c r="F1677">
        <f t="shared" si="157"/>
        <v>226.13472408333385</v>
      </c>
      <c r="G1677">
        <f t="shared" si="158"/>
        <v>1181.0972092609077</v>
      </c>
      <c r="I1677">
        <f t="shared" si="159"/>
        <v>5.5555555555555556E-4</v>
      </c>
      <c r="J1677">
        <f t="shared" si="160"/>
        <v>0.31407600567129701</v>
      </c>
      <c r="K1677">
        <f t="shared" si="161"/>
        <v>2.8346333022261789</v>
      </c>
    </row>
    <row r="1678" spans="1:11" x14ac:dyDescent="0.35">
      <c r="A1678" s="6" t="s">
        <v>9</v>
      </c>
      <c r="B1678" s="6">
        <v>1675</v>
      </c>
      <c r="C1678" s="6">
        <v>198</v>
      </c>
      <c r="D1678" s="17">
        <v>126.9</v>
      </c>
      <c r="E1678" s="1">
        <f t="shared" si="156"/>
        <v>0</v>
      </c>
      <c r="F1678">
        <f t="shared" si="157"/>
        <v>219.80139075</v>
      </c>
      <c r="G1678">
        <f t="shared" si="158"/>
        <v>1181.0972092609077</v>
      </c>
      <c r="I1678">
        <f t="shared" si="159"/>
        <v>5.5555555555555556E-4</v>
      </c>
      <c r="J1678">
        <f t="shared" si="160"/>
        <v>0.30527970937499999</v>
      </c>
      <c r="K1678">
        <f t="shared" si="161"/>
        <v>2.8346333022261789</v>
      </c>
    </row>
    <row r="1679" spans="1:11" x14ac:dyDescent="0.35">
      <c r="A1679" s="6" t="s">
        <v>9</v>
      </c>
      <c r="B1679" s="6">
        <v>1676</v>
      </c>
      <c r="C1679" s="6">
        <v>199</v>
      </c>
      <c r="D1679" s="17">
        <v>126.9</v>
      </c>
      <c r="E1679" s="1">
        <f t="shared" si="156"/>
        <v>-1.3888888888890073E-2</v>
      </c>
      <c r="F1679">
        <f t="shared" si="157"/>
        <v>213.46805741666611</v>
      </c>
      <c r="G1679">
        <f t="shared" si="158"/>
        <v>1181.0972092609077</v>
      </c>
      <c r="I1679">
        <f t="shared" si="159"/>
        <v>5.5555555555555556E-4</v>
      </c>
      <c r="J1679">
        <f t="shared" si="160"/>
        <v>0.29648341307870296</v>
      </c>
      <c r="K1679">
        <f t="shared" si="161"/>
        <v>2.8346333022261789</v>
      </c>
    </row>
    <row r="1680" spans="1:11" x14ac:dyDescent="0.35">
      <c r="A1680" s="6" t="s">
        <v>9</v>
      </c>
      <c r="B1680" s="6">
        <v>1677</v>
      </c>
      <c r="C1680" s="6">
        <v>200</v>
      </c>
      <c r="D1680" s="17">
        <v>126.8</v>
      </c>
      <c r="E1680" s="1">
        <f t="shared" si="156"/>
        <v>-4.1666666666668246E-2</v>
      </c>
      <c r="F1680">
        <f t="shared" si="157"/>
        <v>200.56082207407334</v>
      </c>
      <c r="G1680">
        <f t="shared" si="158"/>
        <v>1180.1664785995515</v>
      </c>
      <c r="I1680">
        <f t="shared" si="159"/>
        <v>5.5555555555555556E-4</v>
      </c>
      <c r="J1680">
        <f t="shared" si="160"/>
        <v>0.27855669732510185</v>
      </c>
      <c r="K1680">
        <f t="shared" si="161"/>
        <v>2.8323995486389237</v>
      </c>
    </row>
    <row r="1681" spans="1:11" x14ac:dyDescent="0.35">
      <c r="A1681" s="6" t="s">
        <v>9</v>
      </c>
      <c r="B1681" s="6">
        <v>1678</v>
      </c>
      <c r="C1681" s="6">
        <v>201</v>
      </c>
      <c r="D1681" s="17">
        <v>126.6</v>
      </c>
      <c r="E1681" s="1">
        <f t="shared" si="156"/>
        <v>-6.9444444444444448E-2</v>
      </c>
      <c r="F1681">
        <f t="shared" si="157"/>
        <v>187.41358699999995</v>
      </c>
      <c r="G1681">
        <f t="shared" si="158"/>
        <v>1178.3050172768392</v>
      </c>
      <c r="I1681">
        <f t="shared" si="159"/>
        <v>5.5555555555555556E-4</v>
      </c>
      <c r="J1681">
        <f t="shared" si="160"/>
        <v>0.26029664861111101</v>
      </c>
      <c r="K1681">
        <f t="shared" si="161"/>
        <v>2.8279320414644142</v>
      </c>
    </row>
    <row r="1682" spans="1:11" x14ac:dyDescent="0.35">
      <c r="A1682" s="6" t="s">
        <v>9</v>
      </c>
      <c r="B1682" s="6">
        <v>1679</v>
      </c>
      <c r="C1682" s="6">
        <v>202</v>
      </c>
      <c r="D1682" s="17">
        <v>126.3</v>
      </c>
      <c r="E1682" s="1">
        <f t="shared" si="156"/>
        <v>-8.3333333333332538E-2</v>
      </c>
      <c r="F1682">
        <f t="shared" si="157"/>
        <v>180.36082341666696</v>
      </c>
      <c r="G1682">
        <f t="shared" si="158"/>
        <v>1175.5128252927709</v>
      </c>
      <c r="I1682">
        <f t="shared" si="159"/>
        <v>5.5555555555555556E-4</v>
      </c>
      <c r="J1682">
        <f t="shared" si="160"/>
        <v>0.25050114363425968</v>
      </c>
      <c r="K1682">
        <f t="shared" si="161"/>
        <v>2.82123078070265</v>
      </c>
    </row>
    <row r="1683" spans="1:11" x14ac:dyDescent="0.35">
      <c r="A1683" s="6" t="s">
        <v>9</v>
      </c>
      <c r="B1683" s="6">
        <v>1680</v>
      </c>
      <c r="C1683" s="6">
        <v>203</v>
      </c>
      <c r="D1683" s="17">
        <v>126</v>
      </c>
      <c r="E1683" s="1">
        <f t="shared" si="156"/>
        <v>-8.3333333333332538E-2</v>
      </c>
      <c r="F1683">
        <f t="shared" si="157"/>
        <v>179.64310000000035</v>
      </c>
      <c r="G1683">
        <f t="shared" si="158"/>
        <v>1172.7206333087026</v>
      </c>
      <c r="I1683">
        <f t="shared" si="159"/>
        <v>5.5555555555555556E-4</v>
      </c>
      <c r="J1683">
        <f t="shared" si="160"/>
        <v>0.24950430555555603</v>
      </c>
      <c r="K1683">
        <f t="shared" si="161"/>
        <v>2.8145295199408866</v>
      </c>
    </row>
    <row r="1684" spans="1:11" x14ac:dyDescent="0.35">
      <c r="A1684" s="6" t="s">
        <v>9</v>
      </c>
      <c r="B1684" s="6">
        <v>1681</v>
      </c>
      <c r="C1684" s="6">
        <v>204</v>
      </c>
      <c r="D1684" s="17">
        <v>125.7</v>
      </c>
      <c r="E1684" s="1">
        <f t="shared" si="156"/>
        <v>-5.5555555555556344E-2</v>
      </c>
      <c r="F1684">
        <f t="shared" si="157"/>
        <v>191.59375008333294</v>
      </c>
      <c r="G1684">
        <f t="shared" si="158"/>
        <v>1169.9284413246342</v>
      </c>
      <c r="I1684">
        <f t="shared" si="159"/>
        <v>5.5555555555555556E-4</v>
      </c>
      <c r="J1684">
        <f t="shared" si="160"/>
        <v>0.26610243067129574</v>
      </c>
      <c r="K1684">
        <f t="shared" si="161"/>
        <v>2.8078282591791219</v>
      </c>
    </row>
    <row r="1685" spans="1:11" x14ac:dyDescent="0.35">
      <c r="A1685" s="6" t="s">
        <v>9</v>
      </c>
      <c r="B1685" s="6">
        <v>1682</v>
      </c>
      <c r="C1685" s="6">
        <v>205</v>
      </c>
      <c r="D1685" s="17">
        <v>125.6</v>
      </c>
      <c r="E1685" s="1">
        <f t="shared" si="156"/>
        <v>-1.3888888888890073E-2</v>
      </c>
      <c r="F1685">
        <f t="shared" si="157"/>
        <v>210.3554571851846</v>
      </c>
      <c r="G1685">
        <f t="shared" si="158"/>
        <v>1168.9977106632782</v>
      </c>
      <c r="I1685">
        <f t="shared" si="159"/>
        <v>5.5555555555555556E-4</v>
      </c>
      <c r="J1685">
        <f t="shared" si="160"/>
        <v>0.29216035720164529</v>
      </c>
      <c r="K1685">
        <f t="shared" si="161"/>
        <v>2.8055945055918681</v>
      </c>
    </row>
    <row r="1686" spans="1:11" x14ac:dyDescent="0.35">
      <c r="A1686" s="6" t="s">
        <v>9</v>
      </c>
      <c r="B1686" s="6">
        <v>1683</v>
      </c>
      <c r="C1686" s="6">
        <v>206</v>
      </c>
      <c r="D1686" s="17">
        <v>125.6</v>
      </c>
      <c r="E1686" s="1">
        <f t="shared" si="156"/>
        <v>2.7777777777778172E-2</v>
      </c>
      <c r="F1686">
        <f t="shared" si="157"/>
        <v>229.35545718518534</v>
      </c>
      <c r="G1686">
        <f t="shared" si="158"/>
        <v>1168.9977106632782</v>
      </c>
      <c r="I1686">
        <f t="shared" si="159"/>
        <v>5.5555555555555556E-4</v>
      </c>
      <c r="J1686">
        <f t="shared" si="160"/>
        <v>0.3185492460905352</v>
      </c>
      <c r="K1686">
        <f t="shared" si="161"/>
        <v>2.8055945055918681</v>
      </c>
    </row>
    <row r="1687" spans="1:11" x14ac:dyDescent="0.35">
      <c r="A1687" s="6" t="s">
        <v>9</v>
      </c>
      <c r="B1687" s="6">
        <v>1684</v>
      </c>
      <c r="C1687" s="6">
        <v>207</v>
      </c>
      <c r="D1687" s="17">
        <v>125.8</v>
      </c>
      <c r="E1687" s="1">
        <f t="shared" si="156"/>
        <v>8.3333333333334522E-2</v>
      </c>
      <c r="F1687">
        <f t="shared" si="157"/>
        <v>255.16556596296348</v>
      </c>
      <c r="G1687">
        <f t="shared" si="158"/>
        <v>1170.8591719859903</v>
      </c>
      <c r="I1687">
        <f t="shared" si="159"/>
        <v>5.5555555555555556E-4</v>
      </c>
      <c r="J1687">
        <f t="shared" si="160"/>
        <v>0.35439661939300482</v>
      </c>
      <c r="K1687">
        <f t="shared" si="161"/>
        <v>2.8100620127663771</v>
      </c>
    </row>
    <row r="1688" spans="1:11" x14ac:dyDescent="0.35">
      <c r="A1688" s="6" t="s">
        <v>9</v>
      </c>
      <c r="B1688" s="6">
        <v>1685</v>
      </c>
      <c r="C1688" s="6">
        <v>208</v>
      </c>
      <c r="D1688" s="17">
        <v>126.2</v>
      </c>
      <c r="E1688" s="1">
        <f t="shared" si="156"/>
        <v>0.11111111111111072</v>
      </c>
      <c r="F1688">
        <f t="shared" si="157"/>
        <v>268.78805929629607</v>
      </c>
      <c r="G1688">
        <f t="shared" si="158"/>
        <v>1174.5820946314147</v>
      </c>
      <c r="I1688">
        <f t="shared" si="159"/>
        <v>5.5555555555555556E-4</v>
      </c>
      <c r="J1688">
        <f t="shared" si="160"/>
        <v>0.37331674902263345</v>
      </c>
      <c r="K1688">
        <f t="shared" si="161"/>
        <v>2.8189970271153957</v>
      </c>
    </row>
    <row r="1689" spans="1:11" x14ac:dyDescent="0.35">
      <c r="A1689" s="6" t="s">
        <v>9</v>
      </c>
      <c r="B1689" s="6">
        <v>1686</v>
      </c>
      <c r="C1689" s="6">
        <v>209</v>
      </c>
      <c r="D1689" s="17">
        <v>126.6</v>
      </c>
      <c r="E1689" s="1">
        <f t="shared" si="156"/>
        <v>0.11111111111111072</v>
      </c>
      <c r="F1689">
        <f t="shared" si="157"/>
        <v>269.74692033333309</v>
      </c>
      <c r="G1689">
        <f t="shared" si="158"/>
        <v>1178.3050172768392</v>
      </c>
      <c r="I1689">
        <f t="shared" si="159"/>
        <v>5.5555555555555556E-4</v>
      </c>
      <c r="J1689">
        <f t="shared" si="160"/>
        <v>0.37464850046296261</v>
      </c>
      <c r="K1689">
        <f t="shared" si="161"/>
        <v>2.8279320414644142</v>
      </c>
    </row>
    <row r="1690" spans="1:11" x14ac:dyDescent="0.35">
      <c r="A1690" s="6" t="s">
        <v>9</v>
      </c>
      <c r="B1690" s="6">
        <v>1687</v>
      </c>
      <c r="C1690" s="6">
        <v>210</v>
      </c>
      <c r="D1690" s="17">
        <v>127</v>
      </c>
      <c r="E1690" s="1">
        <f t="shared" si="156"/>
        <v>0.11111111111111269</v>
      </c>
      <c r="F1690">
        <f t="shared" si="157"/>
        <v>270.70881574074144</v>
      </c>
      <c r="G1690">
        <f t="shared" si="158"/>
        <v>1182.0279399222636</v>
      </c>
      <c r="I1690">
        <f t="shared" si="159"/>
        <v>5.5555555555555556E-4</v>
      </c>
      <c r="J1690">
        <f t="shared" si="160"/>
        <v>0.37598446630658533</v>
      </c>
      <c r="K1690">
        <f t="shared" si="161"/>
        <v>2.8368670558134328</v>
      </c>
    </row>
    <row r="1691" spans="1:11" x14ac:dyDescent="0.35">
      <c r="A1691" s="6" t="s">
        <v>9</v>
      </c>
      <c r="B1691" s="6">
        <v>1688</v>
      </c>
      <c r="C1691" s="6">
        <v>211</v>
      </c>
      <c r="D1691" s="17">
        <v>127.4</v>
      </c>
      <c r="E1691" s="1">
        <f t="shared" si="156"/>
        <v>8.3333333333332538E-2</v>
      </c>
      <c r="F1691">
        <f t="shared" si="157"/>
        <v>259.00707885185153</v>
      </c>
      <c r="G1691">
        <f t="shared" si="158"/>
        <v>1185.7508625676883</v>
      </c>
      <c r="I1691">
        <f t="shared" si="159"/>
        <v>5.5555555555555556E-4</v>
      </c>
      <c r="J1691">
        <f t="shared" si="160"/>
        <v>0.35973205396090491</v>
      </c>
      <c r="K1691">
        <f t="shared" si="161"/>
        <v>2.8458020701624518</v>
      </c>
    </row>
    <row r="1692" spans="1:11" x14ac:dyDescent="0.35">
      <c r="A1692" s="6" t="s">
        <v>9</v>
      </c>
      <c r="B1692" s="6">
        <v>1689</v>
      </c>
      <c r="C1692" s="6">
        <v>212</v>
      </c>
      <c r="D1692" s="17">
        <v>127.6</v>
      </c>
      <c r="E1692" s="1">
        <f t="shared" si="156"/>
        <v>5.5555555555554373E-2</v>
      </c>
      <c r="F1692">
        <f t="shared" si="157"/>
        <v>246.82401496296239</v>
      </c>
      <c r="G1692">
        <f t="shared" si="158"/>
        <v>1187.6123238904004</v>
      </c>
      <c r="I1692">
        <f t="shared" si="159"/>
        <v>5.5555555555555556E-4</v>
      </c>
      <c r="J1692">
        <f t="shared" si="160"/>
        <v>0.34281113189300333</v>
      </c>
      <c r="K1692">
        <f t="shared" si="161"/>
        <v>2.8502695773369608</v>
      </c>
    </row>
    <row r="1693" spans="1:11" x14ac:dyDescent="0.35">
      <c r="A1693" s="6" t="s">
        <v>9</v>
      </c>
      <c r="B1693" s="6">
        <v>1690</v>
      </c>
      <c r="C1693" s="6">
        <v>213</v>
      </c>
      <c r="D1693" s="17">
        <v>127.8</v>
      </c>
      <c r="E1693" s="1">
        <f t="shared" si="156"/>
        <v>4.1666666666668246E-2</v>
      </c>
      <c r="F1693">
        <f t="shared" si="157"/>
        <v>240.97504300000071</v>
      </c>
      <c r="G1693">
        <f t="shared" si="158"/>
        <v>1189.4737852131127</v>
      </c>
      <c r="I1693">
        <f t="shared" si="159"/>
        <v>5.5555555555555556E-4</v>
      </c>
      <c r="J1693">
        <f t="shared" si="160"/>
        <v>0.33468755972222319</v>
      </c>
      <c r="K1693">
        <f t="shared" si="161"/>
        <v>2.8547370845114703</v>
      </c>
    </row>
    <row r="1694" spans="1:11" x14ac:dyDescent="0.35">
      <c r="A1694" s="6" t="s">
        <v>9</v>
      </c>
      <c r="B1694" s="6">
        <v>1691</v>
      </c>
      <c r="C1694" s="6">
        <v>214</v>
      </c>
      <c r="D1694" s="17">
        <v>127.9</v>
      </c>
      <c r="E1694" s="1">
        <f t="shared" si="156"/>
        <v>2.7777777777778172E-2</v>
      </c>
      <c r="F1694">
        <f t="shared" si="157"/>
        <v>234.88417482407425</v>
      </c>
      <c r="G1694">
        <f t="shared" si="158"/>
        <v>1190.4045158744686</v>
      </c>
      <c r="I1694">
        <f t="shared" si="159"/>
        <v>5.5555555555555556E-4</v>
      </c>
      <c r="J1694">
        <f t="shared" si="160"/>
        <v>0.32622802058899203</v>
      </c>
      <c r="K1694">
        <f t="shared" si="161"/>
        <v>2.8569708380987251</v>
      </c>
    </row>
    <row r="1695" spans="1:11" x14ac:dyDescent="0.35">
      <c r="A1695" s="6" t="s">
        <v>9</v>
      </c>
      <c r="B1695" s="6">
        <v>1692</v>
      </c>
      <c r="C1695" s="6">
        <v>215</v>
      </c>
      <c r="D1695" s="17">
        <v>128</v>
      </c>
      <c r="E1695" s="1">
        <f t="shared" si="156"/>
        <v>2.7777777777776198E-2</v>
      </c>
      <c r="F1695">
        <f t="shared" si="157"/>
        <v>235.1268296296289</v>
      </c>
      <c r="G1695">
        <f t="shared" si="158"/>
        <v>1191.3352465358248</v>
      </c>
      <c r="I1695">
        <f t="shared" si="159"/>
        <v>5.5555555555555556E-4</v>
      </c>
      <c r="J1695">
        <f t="shared" si="160"/>
        <v>0.32656504115226237</v>
      </c>
      <c r="K1695">
        <f t="shared" si="161"/>
        <v>2.8592045916859794</v>
      </c>
    </row>
    <row r="1696" spans="1:11" x14ac:dyDescent="0.35">
      <c r="A1696" s="6" t="s">
        <v>9</v>
      </c>
      <c r="B1696" s="6">
        <v>1693</v>
      </c>
      <c r="C1696" s="6">
        <v>216</v>
      </c>
      <c r="D1696" s="17">
        <v>128.1</v>
      </c>
      <c r="E1696" s="1">
        <f t="shared" si="156"/>
        <v>2.7777777777776198E-2</v>
      </c>
      <c r="F1696">
        <f t="shared" si="157"/>
        <v>235.36967408333257</v>
      </c>
      <c r="G1696">
        <f t="shared" si="158"/>
        <v>1192.265977197181</v>
      </c>
      <c r="I1696">
        <f t="shared" si="159"/>
        <v>5.5555555555555556E-4</v>
      </c>
      <c r="J1696">
        <f t="shared" si="160"/>
        <v>0.32690232511573969</v>
      </c>
      <c r="K1696">
        <f t="shared" si="161"/>
        <v>2.8614383452732346</v>
      </c>
    </row>
    <row r="1697" spans="1:11" x14ac:dyDescent="0.35">
      <c r="A1697" s="6" t="s">
        <v>9</v>
      </c>
      <c r="B1697" s="6">
        <v>1694</v>
      </c>
      <c r="C1697" s="6">
        <v>217</v>
      </c>
      <c r="D1697" s="17">
        <v>128.19999999999999</v>
      </c>
      <c r="E1697" s="1">
        <f t="shared" si="156"/>
        <v>2.7777777777780146E-2</v>
      </c>
      <c r="F1697">
        <f t="shared" si="157"/>
        <v>235.61270818518622</v>
      </c>
      <c r="G1697">
        <f t="shared" si="158"/>
        <v>1193.1967078585369</v>
      </c>
      <c r="I1697">
        <f t="shared" si="159"/>
        <v>5.5555555555555556E-4</v>
      </c>
      <c r="J1697">
        <f t="shared" si="160"/>
        <v>0.32723987247942532</v>
      </c>
      <c r="K1697">
        <f t="shared" si="161"/>
        <v>2.8636720988604885</v>
      </c>
    </row>
    <row r="1698" spans="1:11" x14ac:dyDescent="0.35">
      <c r="A1698" s="6" t="s">
        <v>9</v>
      </c>
      <c r="B1698" s="6">
        <v>1695</v>
      </c>
      <c r="C1698" s="6">
        <v>218</v>
      </c>
      <c r="D1698" s="17">
        <v>128.30000000000001</v>
      </c>
      <c r="E1698" s="1">
        <f t="shared" si="156"/>
        <v>2.7777777777780146E-2</v>
      </c>
      <c r="F1698">
        <f t="shared" si="157"/>
        <v>235.85593193518628</v>
      </c>
      <c r="G1698">
        <f t="shared" si="158"/>
        <v>1194.1274385198933</v>
      </c>
      <c r="I1698">
        <f t="shared" si="159"/>
        <v>5.5555555555555556E-4</v>
      </c>
      <c r="J1698">
        <f t="shared" si="160"/>
        <v>0.32757768324331427</v>
      </c>
      <c r="K1698">
        <f t="shared" si="161"/>
        <v>2.8659058524477441</v>
      </c>
    </row>
    <row r="1699" spans="1:11" x14ac:dyDescent="0.35">
      <c r="A1699" s="6" t="s">
        <v>9</v>
      </c>
      <c r="B1699" s="6">
        <v>1696</v>
      </c>
      <c r="C1699" s="6">
        <v>219</v>
      </c>
      <c r="D1699" s="17">
        <v>128.4</v>
      </c>
      <c r="E1699" s="1">
        <f t="shared" si="156"/>
        <v>2.7777777777776198E-2</v>
      </c>
      <c r="F1699">
        <f t="shared" si="157"/>
        <v>236.09934533333256</v>
      </c>
      <c r="G1699">
        <f t="shared" si="158"/>
        <v>1195.0581691812492</v>
      </c>
      <c r="I1699">
        <f t="shared" si="159"/>
        <v>5.5555555555555556E-4</v>
      </c>
      <c r="J1699">
        <f t="shared" si="160"/>
        <v>0.32791575740740636</v>
      </c>
      <c r="K1699">
        <f t="shared" si="161"/>
        <v>2.868139606034998</v>
      </c>
    </row>
    <row r="1700" spans="1:11" x14ac:dyDescent="0.35">
      <c r="A1700" s="6" t="s">
        <v>9</v>
      </c>
      <c r="B1700" s="6">
        <v>1697</v>
      </c>
      <c r="C1700" s="6">
        <v>220</v>
      </c>
      <c r="D1700" s="17">
        <v>128.5</v>
      </c>
      <c r="E1700" s="1">
        <f t="shared" si="156"/>
        <v>2.7777777777776198E-2</v>
      </c>
      <c r="F1700">
        <f t="shared" si="157"/>
        <v>236.34294837962887</v>
      </c>
      <c r="G1700">
        <f t="shared" si="158"/>
        <v>1195.9888998426054</v>
      </c>
      <c r="I1700">
        <f t="shared" si="159"/>
        <v>5.5555555555555556E-4</v>
      </c>
      <c r="J1700">
        <f t="shared" si="160"/>
        <v>0.32825409497170677</v>
      </c>
      <c r="K1700">
        <f t="shared" si="161"/>
        <v>2.8703733596222532</v>
      </c>
    </row>
    <row r="1701" spans="1:11" x14ac:dyDescent="0.35">
      <c r="A1701" s="6" t="s">
        <v>9</v>
      </c>
      <c r="B1701" s="6">
        <v>1698</v>
      </c>
      <c r="C1701" s="6">
        <v>221</v>
      </c>
      <c r="D1701" s="17">
        <v>128.6</v>
      </c>
      <c r="E1701" s="1">
        <f t="shared" si="156"/>
        <v>1.3888888888888099E-2</v>
      </c>
      <c r="F1701">
        <f t="shared" si="157"/>
        <v>230.25340774074036</v>
      </c>
      <c r="G1701">
        <f t="shared" si="158"/>
        <v>1196.9196305039616</v>
      </c>
      <c r="I1701">
        <f t="shared" si="159"/>
        <v>5.5555555555555556E-4</v>
      </c>
      <c r="J1701">
        <f t="shared" si="160"/>
        <v>0.31979639963991718</v>
      </c>
      <c r="K1701">
        <f t="shared" si="161"/>
        <v>2.8726071132095075</v>
      </c>
    </row>
    <row r="1702" spans="1:11" x14ac:dyDescent="0.35">
      <c r="A1702" s="6" t="s">
        <v>9</v>
      </c>
      <c r="B1702" s="6">
        <v>1699</v>
      </c>
      <c r="C1702" s="6">
        <v>222</v>
      </c>
      <c r="D1702" s="17">
        <v>128.6</v>
      </c>
      <c r="E1702" s="1">
        <f t="shared" si="156"/>
        <v>-1.3888888888888099E-2</v>
      </c>
      <c r="F1702">
        <f t="shared" si="157"/>
        <v>217.58674107407438</v>
      </c>
      <c r="G1702">
        <f t="shared" si="158"/>
        <v>1196.9196305039616</v>
      </c>
      <c r="I1702">
        <f t="shared" si="159"/>
        <v>5.5555555555555556E-4</v>
      </c>
      <c r="J1702">
        <f t="shared" si="160"/>
        <v>0.30220380704732552</v>
      </c>
      <c r="K1702">
        <f t="shared" si="161"/>
        <v>2.8726071132095075</v>
      </c>
    </row>
    <row r="1703" spans="1:11" x14ac:dyDescent="0.35">
      <c r="A1703" s="6" t="s">
        <v>9</v>
      </c>
      <c r="B1703" s="6">
        <v>1700</v>
      </c>
      <c r="C1703" s="6">
        <v>223</v>
      </c>
      <c r="D1703" s="17">
        <v>128.5</v>
      </c>
      <c r="E1703" s="1">
        <f t="shared" si="156"/>
        <v>-4.1666666666664298E-2</v>
      </c>
      <c r="F1703">
        <f t="shared" si="157"/>
        <v>204.67628171296403</v>
      </c>
      <c r="G1703">
        <f t="shared" si="158"/>
        <v>1195.9888998426054</v>
      </c>
      <c r="I1703">
        <f t="shared" si="159"/>
        <v>5.5555555555555556E-4</v>
      </c>
      <c r="J1703">
        <f t="shared" si="160"/>
        <v>0.28427261349022781</v>
      </c>
      <c r="K1703">
        <f t="shared" si="161"/>
        <v>2.8703733596222532</v>
      </c>
    </row>
    <row r="1704" spans="1:11" x14ac:dyDescent="0.35">
      <c r="A1704" s="6" t="s">
        <v>9</v>
      </c>
      <c r="B1704" s="6">
        <v>1701</v>
      </c>
      <c r="C1704" s="6">
        <v>224</v>
      </c>
      <c r="D1704" s="17">
        <v>128.30000000000001</v>
      </c>
      <c r="E1704" s="1">
        <f t="shared" si="156"/>
        <v>-5.5555555555556344E-2</v>
      </c>
      <c r="F1704">
        <f t="shared" si="157"/>
        <v>197.8559319351848</v>
      </c>
      <c r="G1704">
        <f t="shared" si="158"/>
        <v>1194.1274385198933</v>
      </c>
      <c r="I1704">
        <f t="shared" si="159"/>
        <v>5.5555555555555556E-4</v>
      </c>
      <c r="J1704">
        <f t="shared" si="160"/>
        <v>0.27479990546553446</v>
      </c>
      <c r="K1704">
        <f t="shared" si="161"/>
        <v>2.8659058524477441</v>
      </c>
    </row>
    <row r="1705" spans="1:11" x14ac:dyDescent="0.35">
      <c r="A1705" s="6" t="s">
        <v>9</v>
      </c>
      <c r="B1705" s="6">
        <v>1702</v>
      </c>
      <c r="C1705" s="6">
        <v>225</v>
      </c>
      <c r="D1705" s="17">
        <v>128.1</v>
      </c>
      <c r="E1705" s="1">
        <f t="shared" si="156"/>
        <v>-5.5555555555556344E-2</v>
      </c>
      <c r="F1705">
        <f t="shared" si="157"/>
        <v>197.36967408333291</v>
      </c>
      <c r="G1705">
        <f t="shared" si="158"/>
        <v>1192.265977197181</v>
      </c>
      <c r="I1705">
        <f t="shared" si="159"/>
        <v>5.5555555555555556E-4</v>
      </c>
      <c r="J1705">
        <f t="shared" si="160"/>
        <v>0.27412454733796238</v>
      </c>
      <c r="K1705">
        <f t="shared" si="161"/>
        <v>2.8614383452732346</v>
      </c>
    </row>
    <row r="1706" spans="1:11" x14ac:dyDescent="0.35">
      <c r="A1706" s="6" t="s">
        <v>9</v>
      </c>
      <c r="B1706" s="6">
        <v>1703</v>
      </c>
      <c r="C1706" s="6">
        <v>226</v>
      </c>
      <c r="D1706" s="17">
        <v>127.9</v>
      </c>
      <c r="E1706" s="1">
        <f t="shared" si="156"/>
        <v>-6.9444444444444448E-2</v>
      </c>
      <c r="F1706">
        <f t="shared" si="157"/>
        <v>190.55084149074071</v>
      </c>
      <c r="G1706">
        <f t="shared" si="158"/>
        <v>1190.4045158744686</v>
      </c>
      <c r="I1706">
        <f t="shared" si="159"/>
        <v>5.5555555555555556E-4</v>
      </c>
      <c r="J1706">
        <f t="shared" si="160"/>
        <v>0.26465394651491764</v>
      </c>
      <c r="K1706">
        <f t="shared" si="161"/>
        <v>2.8569708380987251</v>
      </c>
    </row>
    <row r="1707" spans="1:11" x14ac:dyDescent="0.35">
      <c r="A1707" s="6" t="s">
        <v>9</v>
      </c>
      <c r="B1707" s="6">
        <v>1704</v>
      </c>
      <c r="C1707" s="6">
        <v>227</v>
      </c>
      <c r="D1707" s="17">
        <v>127.6</v>
      </c>
      <c r="E1707" s="1">
        <f t="shared" si="156"/>
        <v>-6.9444444444444448E-2</v>
      </c>
      <c r="F1707">
        <f t="shared" si="157"/>
        <v>189.82401496296293</v>
      </c>
      <c r="G1707">
        <f t="shared" si="158"/>
        <v>1187.6123238904004</v>
      </c>
      <c r="I1707">
        <f t="shared" si="159"/>
        <v>5.5555555555555556E-4</v>
      </c>
      <c r="J1707">
        <f t="shared" si="160"/>
        <v>0.26364446522633739</v>
      </c>
      <c r="K1707">
        <f t="shared" si="161"/>
        <v>2.8502695773369608</v>
      </c>
    </row>
    <row r="1708" spans="1:11" x14ac:dyDescent="0.35">
      <c r="A1708" s="6" t="s">
        <v>9</v>
      </c>
      <c r="B1708" s="6">
        <v>1705</v>
      </c>
      <c r="C1708" s="6">
        <v>228</v>
      </c>
      <c r="D1708" s="17">
        <v>127.4</v>
      </c>
      <c r="E1708" s="1">
        <f t="shared" si="156"/>
        <v>-5.5555555555554373E-2</v>
      </c>
      <c r="F1708">
        <f t="shared" si="157"/>
        <v>195.67374551851907</v>
      </c>
      <c r="G1708">
        <f t="shared" si="158"/>
        <v>1185.7508625676883</v>
      </c>
      <c r="I1708">
        <f t="shared" si="159"/>
        <v>5.5555555555555556E-4</v>
      </c>
      <c r="J1708">
        <f t="shared" si="160"/>
        <v>0.27176909099794316</v>
      </c>
      <c r="K1708">
        <f t="shared" si="161"/>
        <v>2.8458020701624518</v>
      </c>
    </row>
    <row r="1709" spans="1:11" x14ac:dyDescent="0.35">
      <c r="A1709" s="6" t="s">
        <v>9</v>
      </c>
      <c r="B1709" s="6">
        <v>1706</v>
      </c>
      <c r="C1709" s="6">
        <v>229</v>
      </c>
      <c r="D1709" s="17">
        <v>127.2</v>
      </c>
      <c r="E1709" s="1">
        <f t="shared" si="156"/>
        <v>-5.5555555555556344E-2</v>
      </c>
      <c r="F1709">
        <f t="shared" si="157"/>
        <v>195.19090133333299</v>
      </c>
      <c r="G1709">
        <f t="shared" si="158"/>
        <v>1183.8894012449759</v>
      </c>
      <c r="I1709">
        <f t="shared" si="159"/>
        <v>5.5555555555555556E-4</v>
      </c>
      <c r="J1709">
        <f t="shared" si="160"/>
        <v>0.27109847407407361</v>
      </c>
      <c r="K1709">
        <f t="shared" si="161"/>
        <v>2.8413345629879423</v>
      </c>
    </row>
    <row r="1710" spans="1:11" x14ac:dyDescent="0.35">
      <c r="A1710" s="6" t="s">
        <v>9</v>
      </c>
      <c r="B1710" s="6">
        <v>1707</v>
      </c>
      <c r="C1710" s="6">
        <v>230</v>
      </c>
      <c r="D1710" s="17">
        <v>127</v>
      </c>
      <c r="E1710" s="1">
        <f t="shared" si="156"/>
        <v>-4.1666666666666269E-2</v>
      </c>
      <c r="F1710">
        <f t="shared" si="157"/>
        <v>201.04214907407427</v>
      </c>
      <c r="G1710">
        <f t="shared" si="158"/>
        <v>1182.0279399222636</v>
      </c>
      <c r="I1710">
        <f t="shared" si="159"/>
        <v>5.5555555555555556E-4</v>
      </c>
      <c r="J1710">
        <f t="shared" si="160"/>
        <v>0.2792252070473254</v>
      </c>
      <c r="K1710">
        <f t="shared" si="161"/>
        <v>2.8368670558134328</v>
      </c>
    </row>
    <row r="1711" spans="1:11" x14ac:dyDescent="0.35">
      <c r="A1711" s="6" t="s">
        <v>9</v>
      </c>
      <c r="B1711" s="6">
        <v>1708</v>
      </c>
      <c r="C1711" s="6">
        <v>231</v>
      </c>
      <c r="D1711" s="17">
        <v>126.9</v>
      </c>
      <c r="E1711" s="1">
        <f t="shared" si="156"/>
        <v>-2.7777777777778172E-2</v>
      </c>
      <c r="F1711">
        <f t="shared" si="157"/>
        <v>207.13472408333314</v>
      </c>
      <c r="G1711">
        <f t="shared" si="158"/>
        <v>1181.0972092609077</v>
      </c>
      <c r="I1711">
        <f t="shared" si="159"/>
        <v>5.5555555555555556E-4</v>
      </c>
      <c r="J1711">
        <f t="shared" si="160"/>
        <v>0.28768711678240716</v>
      </c>
      <c r="K1711">
        <f t="shared" si="161"/>
        <v>2.8346333022261789</v>
      </c>
    </row>
    <row r="1712" spans="1:11" x14ac:dyDescent="0.35">
      <c r="A1712" s="6" t="s">
        <v>9</v>
      </c>
      <c r="B1712" s="6">
        <v>1709</v>
      </c>
      <c r="C1712" s="6">
        <v>232</v>
      </c>
      <c r="D1712" s="17">
        <v>126.8</v>
      </c>
      <c r="E1712" s="1">
        <f t="shared" si="156"/>
        <v>-2.7777777777778172E-2</v>
      </c>
      <c r="F1712">
        <f t="shared" si="157"/>
        <v>206.8941554074072</v>
      </c>
      <c r="G1712">
        <f t="shared" si="158"/>
        <v>1180.1664785995515</v>
      </c>
      <c r="I1712">
        <f t="shared" si="159"/>
        <v>5.5555555555555556E-4</v>
      </c>
      <c r="J1712">
        <f t="shared" si="160"/>
        <v>0.28735299362139888</v>
      </c>
      <c r="K1712">
        <f t="shared" si="161"/>
        <v>2.8323995486389237</v>
      </c>
    </row>
    <row r="1713" spans="1:11" x14ac:dyDescent="0.35">
      <c r="A1713" s="6" t="s">
        <v>9</v>
      </c>
      <c r="B1713" s="6">
        <v>1710</v>
      </c>
      <c r="C1713" s="6">
        <v>233</v>
      </c>
      <c r="D1713" s="17">
        <v>126.7</v>
      </c>
      <c r="E1713" s="1">
        <f t="shared" si="156"/>
        <v>0</v>
      </c>
      <c r="F1713">
        <f t="shared" si="157"/>
        <v>219.32044304629628</v>
      </c>
      <c r="G1713">
        <f t="shared" si="158"/>
        <v>1179.2357479381953</v>
      </c>
      <c r="I1713">
        <f t="shared" si="159"/>
        <v>5.5555555555555556E-4</v>
      </c>
      <c r="J1713">
        <f t="shared" si="160"/>
        <v>0.30461172645318929</v>
      </c>
      <c r="K1713">
        <f t="shared" si="161"/>
        <v>2.830165795051669</v>
      </c>
    </row>
    <row r="1714" spans="1:11" x14ac:dyDescent="0.35">
      <c r="A1714" s="6" t="s">
        <v>9</v>
      </c>
      <c r="B1714" s="6">
        <v>1711</v>
      </c>
      <c r="C1714" s="6">
        <v>234</v>
      </c>
      <c r="D1714" s="17">
        <v>126.8</v>
      </c>
      <c r="E1714" s="1">
        <f t="shared" si="156"/>
        <v>2.7777777777778172E-2</v>
      </c>
      <c r="F1714">
        <f t="shared" si="157"/>
        <v>232.22748874074091</v>
      </c>
      <c r="G1714">
        <f t="shared" si="158"/>
        <v>1180.1664785995515</v>
      </c>
      <c r="I1714">
        <f t="shared" si="159"/>
        <v>5.5555555555555556E-4</v>
      </c>
      <c r="J1714">
        <f t="shared" si="160"/>
        <v>0.32253817880658459</v>
      </c>
      <c r="K1714">
        <f t="shared" si="161"/>
        <v>2.8323995486389237</v>
      </c>
    </row>
    <row r="1715" spans="1:11" x14ac:dyDescent="0.35">
      <c r="A1715" s="6" t="s">
        <v>9</v>
      </c>
      <c r="B1715" s="6">
        <v>1712</v>
      </c>
      <c r="C1715" s="6">
        <v>235</v>
      </c>
      <c r="D1715" s="17">
        <v>126.9</v>
      </c>
      <c r="E1715" s="1">
        <f t="shared" si="156"/>
        <v>4.1666666666666269E-2</v>
      </c>
      <c r="F1715">
        <f t="shared" si="157"/>
        <v>238.8013907499998</v>
      </c>
      <c r="G1715">
        <f t="shared" si="158"/>
        <v>1181.0972092609077</v>
      </c>
      <c r="I1715">
        <f t="shared" si="159"/>
        <v>5.5555555555555556E-4</v>
      </c>
      <c r="J1715">
        <f t="shared" si="160"/>
        <v>0.33166859826388861</v>
      </c>
      <c r="K1715">
        <f t="shared" si="161"/>
        <v>2.8346333022261789</v>
      </c>
    </row>
    <row r="1716" spans="1:11" x14ac:dyDescent="0.35">
      <c r="A1716" s="6" t="s">
        <v>9</v>
      </c>
      <c r="B1716" s="6">
        <v>1713</v>
      </c>
      <c r="C1716" s="6">
        <v>236</v>
      </c>
      <c r="D1716" s="17">
        <v>127.1</v>
      </c>
      <c r="E1716" s="1">
        <f t="shared" si="156"/>
        <v>6.9444444444444448E-2</v>
      </c>
      <c r="F1716">
        <f t="shared" si="157"/>
        <v>251.94976371296292</v>
      </c>
      <c r="G1716">
        <f t="shared" si="158"/>
        <v>1182.9586705836198</v>
      </c>
      <c r="I1716">
        <f t="shared" si="159"/>
        <v>5.5555555555555556E-4</v>
      </c>
      <c r="J1716">
        <f t="shared" si="160"/>
        <v>0.34993022737911517</v>
      </c>
      <c r="K1716">
        <f t="shared" si="161"/>
        <v>2.839100809400688</v>
      </c>
    </row>
    <row r="1717" spans="1:11" x14ac:dyDescent="0.35">
      <c r="A1717" s="6" t="s">
        <v>9</v>
      </c>
      <c r="B1717" s="6">
        <v>1714</v>
      </c>
      <c r="C1717" s="6">
        <v>237</v>
      </c>
      <c r="D1717" s="17">
        <v>127.4</v>
      </c>
      <c r="E1717" s="1">
        <f t="shared" si="156"/>
        <v>8.3333333333334522E-2</v>
      </c>
      <c r="F1717">
        <f t="shared" si="157"/>
        <v>259.00707885185244</v>
      </c>
      <c r="G1717">
        <f t="shared" si="158"/>
        <v>1185.7508625676883</v>
      </c>
      <c r="I1717">
        <f t="shared" si="159"/>
        <v>5.5555555555555556E-4</v>
      </c>
      <c r="J1717">
        <f t="shared" si="160"/>
        <v>0.35973205396090618</v>
      </c>
      <c r="K1717">
        <f t="shared" si="161"/>
        <v>2.8458020701624518</v>
      </c>
    </row>
    <row r="1718" spans="1:11" x14ac:dyDescent="0.35">
      <c r="A1718" s="6" t="s">
        <v>9</v>
      </c>
      <c r="B1718" s="6">
        <v>1715</v>
      </c>
      <c r="C1718" s="6">
        <v>238</v>
      </c>
      <c r="D1718" s="17">
        <v>127.7</v>
      </c>
      <c r="E1718" s="1">
        <f t="shared" si="156"/>
        <v>9.7222222222220642E-2</v>
      </c>
      <c r="F1718">
        <f t="shared" si="157"/>
        <v>266.06610082407332</v>
      </c>
      <c r="G1718">
        <f t="shared" si="158"/>
        <v>1188.5430545517565</v>
      </c>
      <c r="I1718">
        <f t="shared" si="159"/>
        <v>5.5555555555555556E-4</v>
      </c>
      <c r="J1718">
        <f t="shared" si="160"/>
        <v>0.36953625114454625</v>
      </c>
      <c r="K1718">
        <f t="shared" si="161"/>
        <v>2.852503330924216</v>
      </c>
    </row>
    <row r="1719" spans="1:11" x14ac:dyDescent="0.35">
      <c r="A1719" s="6" t="s">
        <v>9</v>
      </c>
      <c r="B1719" s="6">
        <v>1716</v>
      </c>
      <c r="C1719" s="6">
        <v>239</v>
      </c>
      <c r="D1719" s="17">
        <v>128.1</v>
      </c>
      <c r="E1719" s="1">
        <f t="shared" si="156"/>
        <v>0.11111111111111072</v>
      </c>
      <c r="F1719">
        <f t="shared" si="157"/>
        <v>273.36967408333311</v>
      </c>
      <c r="G1719">
        <f t="shared" si="158"/>
        <v>1192.265977197181</v>
      </c>
      <c r="I1719">
        <f t="shared" si="159"/>
        <v>5.5555555555555556E-4</v>
      </c>
      <c r="J1719">
        <f t="shared" si="160"/>
        <v>0.37968010289351822</v>
      </c>
      <c r="K1719">
        <f t="shared" si="161"/>
        <v>2.8614383452732346</v>
      </c>
    </row>
    <row r="1720" spans="1:11" x14ac:dyDescent="0.35">
      <c r="A1720" s="6" t="s">
        <v>9</v>
      </c>
      <c r="B1720" s="6">
        <v>1717</v>
      </c>
      <c r="C1720" s="6">
        <v>240</v>
      </c>
      <c r="D1720" s="17">
        <v>128.5</v>
      </c>
      <c r="E1720" s="1">
        <f t="shared" si="156"/>
        <v>0.12500000000000078</v>
      </c>
      <c r="F1720">
        <f t="shared" si="157"/>
        <v>280.67628171296326</v>
      </c>
      <c r="G1720">
        <f t="shared" si="158"/>
        <v>1195.9888998426054</v>
      </c>
      <c r="I1720">
        <f t="shared" si="159"/>
        <v>5.5555555555555556E-4</v>
      </c>
      <c r="J1720">
        <f t="shared" si="160"/>
        <v>0.38982816904578232</v>
      </c>
      <c r="K1720">
        <f t="shared" si="161"/>
        <v>2.8703733596222532</v>
      </c>
    </row>
    <row r="1721" spans="1:11" x14ac:dyDescent="0.35">
      <c r="A1721" s="6" t="s">
        <v>9</v>
      </c>
      <c r="B1721" s="6">
        <v>1718</v>
      </c>
      <c r="C1721" s="6">
        <v>241</v>
      </c>
      <c r="D1721" s="17">
        <v>129</v>
      </c>
      <c r="E1721" s="1">
        <f t="shared" si="156"/>
        <v>0.1388888888888889</v>
      </c>
      <c r="F1721">
        <f t="shared" si="157"/>
        <v>288.23047500000001</v>
      </c>
      <c r="G1721">
        <f t="shared" si="158"/>
        <v>1200.642553149386</v>
      </c>
      <c r="I1721">
        <f t="shared" si="159"/>
        <v>5.5555555555555556E-4</v>
      </c>
      <c r="J1721">
        <f t="shared" si="160"/>
        <v>0.40032010416666669</v>
      </c>
      <c r="K1721">
        <f t="shared" si="161"/>
        <v>2.8815421275585269</v>
      </c>
    </row>
    <row r="1722" spans="1:11" x14ac:dyDescent="0.35">
      <c r="A1722" s="6" t="s">
        <v>9</v>
      </c>
      <c r="B1722" s="6">
        <v>1719</v>
      </c>
      <c r="C1722" s="6">
        <v>242</v>
      </c>
      <c r="D1722" s="17">
        <v>129.5</v>
      </c>
      <c r="E1722" s="1">
        <f t="shared" si="156"/>
        <v>0.15277777777777699</v>
      </c>
      <c r="F1722">
        <f t="shared" si="157"/>
        <v>295.7894094907403</v>
      </c>
      <c r="G1722">
        <f t="shared" si="158"/>
        <v>1205.2962064561666</v>
      </c>
      <c r="I1722">
        <f t="shared" si="159"/>
        <v>5.5555555555555556E-4</v>
      </c>
      <c r="J1722">
        <f t="shared" si="160"/>
        <v>0.41081862429269483</v>
      </c>
      <c r="K1722">
        <f t="shared" si="161"/>
        <v>2.8927108954947998</v>
      </c>
    </row>
    <row r="1723" spans="1:11" x14ac:dyDescent="0.35">
      <c r="A1723" s="6" t="s">
        <v>9</v>
      </c>
      <c r="B1723" s="6">
        <v>1720</v>
      </c>
      <c r="C1723" s="6">
        <v>243</v>
      </c>
      <c r="D1723" s="17">
        <v>130.1</v>
      </c>
      <c r="E1723" s="1">
        <f t="shared" si="156"/>
        <v>0.15277777777777699</v>
      </c>
      <c r="F1723">
        <f t="shared" si="157"/>
        <v>297.26638926851808</v>
      </c>
      <c r="G1723">
        <f t="shared" si="158"/>
        <v>1210.8805904243031</v>
      </c>
      <c r="I1723">
        <f t="shared" si="159"/>
        <v>5.5555555555555556E-4</v>
      </c>
      <c r="J1723">
        <f t="shared" si="160"/>
        <v>0.41286998509516398</v>
      </c>
      <c r="K1723">
        <f t="shared" si="161"/>
        <v>2.9061134170183274</v>
      </c>
    </row>
    <row r="1724" spans="1:11" x14ac:dyDescent="0.35">
      <c r="A1724" s="6" t="s">
        <v>9</v>
      </c>
      <c r="B1724" s="6">
        <v>1721</v>
      </c>
      <c r="C1724" s="6">
        <v>244</v>
      </c>
      <c r="D1724" s="17">
        <v>130.6</v>
      </c>
      <c r="E1724" s="1">
        <f t="shared" si="156"/>
        <v>0.12500000000000078</v>
      </c>
      <c r="F1724">
        <f t="shared" si="157"/>
        <v>285.83575440740776</v>
      </c>
      <c r="G1724">
        <f t="shared" si="158"/>
        <v>1215.5342437310837</v>
      </c>
      <c r="I1724">
        <f t="shared" si="159"/>
        <v>5.5555555555555556E-4</v>
      </c>
      <c r="J1724">
        <f t="shared" si="160"/>
        <v>0.3969941033436219</v>
      </c>
      <c r="K1724">
        <f t="shared" si="161"/>
        <v>2.9172821849546011</v>
      </c>
    </row>
    <row r="1725" spans="1:11" x14ac:dyDescent="0.35">
      <c r="A1725" s="6" t="s">
        <v>9</v>
      </c>
      <c r="B1725" s="6">
        <v>1722</v>
      </c>
      <c r="C1725" s="6">
        <v>245</v>
      </c>
      <c r="D1725" s="17">
        <v>131</v>
      </c>
      <c r="E1725" s="1">
        <f t="shared" si="156"/>
        <v>8.3333333333332538E-2</v>
      </c>
      <c r="F1725">
        <f t="shared" si="157"/>
        <v>267.8279935185181</v>
      </c>
      <c r="G1725">
        <f t="shared" si="158"/>
        <v>1219.2571663765082</v>
      </c>
      <c r="I1725">
        <f t="shared" si="159"/>
        <v>5.5555555555555556E-4</v>
      </c>
      <c r="J1725">
        <f t="shared" si="160"/>
        <v>0.37198332433127512</v>
      </c>
      <c r="K1725">
        <f t="shared" si="161"/>
        <v>2.9262171993036197</v>
      </c>
    </row>
    <row r="1726" spans="1:11" x14ac:dyDescent="0.35">
      <c r="A1726" s="6" t="s">
        <v>9</v>
      </c>
      <c r="B1726" s="6">
        <v>1723</v>
      </c>
      <c r="C1726" s="6">
        <v>246</v>
      </c>
      <c r="D1726" s="17">
        <v>131.19999999999999</v>
      </c>
      <c r="E1726" s="1">
        <f t="shared" si="156"/>
        <v>4.1666666666668246E-2</v>
      </c>
      <c r="F1726">
        <f t="shared" si="157"/>
        <v>249.32525096296365</v>
      </c>
      <c r="G1726">
        <f t="shared" si="158"/>
        <v>1221.1186276992203</v>
      </c>
      <c r="I1726">
        <f t="shared" si="159"/>
        <v>5.5555555555555556E-4</v>
      </c>
      <c r="J1726">
        <f t="shared" si="160"/>
        <v>0.34628507078189397</v>
      </c>
      <c r="K1726">
        <f t="shared" si="161"/>
        <v>2.9306847064781287</v>
      </c>
    </row>
    <row r="1727" spans="1:11" x14ac:dyDescent="0.35">
      <c r="A1727" s="6" t="s">
        <v>9</v>
      </c>
      <c r="B1727" s="6">
        <v>1724</v>
      </c>
      <c r="C1727" s="6">
        <v>247</v>
      </c>
      <c r="D1727" s="17">
        <v>131.30000000000001</v>
      </c>
      <c r="E1727" s="1">
        <f t="shared" si="156"/>
        <v>0</v>
      </c>
      <c r="F1727">
        <f t="shared" si="157"/>
        <v>230.57416415740738</v>
      </c>
      <c r="G1727">
        <f t="shared" si="158"/>
        <v>1222.0493583605767</v>
      </c>
      <c r="I1727">
        <f t="shared" si="159"/>
        <v>5.5555555555555556E-4</v>
      </c>
      <c r="J1727">
        <f t="shared" si="160"/>
        <v>0.3202418946630658</v>
      </c>
      <c r="K1727">
        <f t="shared" si="161"/>
        <v>2.9329184600653844</v>
      </c>
    </row>
    <row r="1728" spans="1:11" x14ac:dyDescent="0.35">
      <c r="A1728" s="6" t="s">
        <v>9</v>
      </c>
      <c r="B1728" s="6">
        <v>1725</v>
      </c>
      <c r="C1728" s="6">
        <v>248</v>
      </c>
      <c r="D1728" s="17">
        <v>131.19999999999999</v>
      </c>
      <c r="E1728" s="1">
        <f t="shared" si="156"/>
        <v>-8.3333333333336493E-2</v>
      </c>
      <c r="F1728">
        <f t="shared" si="157"/>
        <v>192.32525096296149</v>
      </c>
      <c r="G1728">
        <f t="shared" si="158"/>
        <v>1221.1186276992203</v>
      </c>
      <c r="I1728">
        <f t="shared" si="159"/>
        <v>5.5555555555555556E-4</v>
      </c>
      <c r="J1728">
        <f t="shared" si="160"/>
        <v>0.26711840411522431</v>
      </c>
      <c r="K1728">
        <f t="shared" si="161"/>
        <v>2.9306847064781287</v>
      </c>
    </row>
    <row r="1729" spans="1:11" x14ac:dyDescent="0.35">
      <c r="A1729" s="6" t="s">
        <v>9</v>
      </c>
      <c r="B1729" s="6">
        <v>1726</v>
      </c>
      <c r="C1729" s="6">
        <v>249</v>
      </c>
      <c r="D1729" s="17">
        <v>130.69999999999999</v>
      </c>
      <c r="E1729" s="1">
        <f t="shared" si="156"/>
        <v>-0.19444444444444128</v>
      </c>
      <c r="F1729">
        <f t="shared" si="157"/>
        <v>140.41686304629772</v>
      </c>
      <c r="G1729">
        <f t="shared" si="158"/>
        <v>1216.4649743924397</v>
      </c>
      <c r="I1729">
        <f t="shared" si="159"/>
        <v>5.5555555555555556E-4</v>
      </c>
      <c r="J1729">
        <f t="shared" si="160"/>
        <v>0.19502342089763572</v>
      </c>
      <c r="K1729">
        <f t="shared" si="161"/>
        <v>2.9195159385418554</v>
      </c>
    </row>
    <row r="1730" spans="1:11" x14ac:dyDescent="0.35">
      <c r="A1730" s="6" t="s">
        <v>9</v>
      </c>
      <c r="B1730" s="6">
        <v>1727</v>
      </c>
      <c r="C1730" s="6">
        <v>250</v>
      </c>
      <c r="D1730" s="17">
        <v>129.80000000000001</v>
      </c>
      <c r="E1730" s="1">
        <f t="shared" si="156"/>
        <v>-0.31944444444444209</v>
      </c>
      <c r="F1730">
        <f t="shared" si="157"/>
        <v>81.193712629630696</v>
      </c>
      <c r="G1730">
        <f t="shared" si="158"/>
        <v>1208.0883984402351</v>
      </c>
      <c r="I1730">
        <f t="shared" si="159"/>
        <v>5.5555555555555556E-4</v>
      </c>
      <c r="J1730">
        <f t="shared" si="160"/>
        <v>0.11276904531893152</v>
      </c>
      <c r="K1730">
        <f t="shared" si="161"/>
        <v>2.8994121562565645</v>
      </c>
    </row>
    <row r="1731" spans="1:11" x14ac:dyDescent="0.35">
      <c r="A1731" s="6" t="s">
        <v>9</v>
      </c>
      <c r="B1731" s="6">
        <v>1728</v>
      </c>
      <c r="C1731" s="6">
        <v>251</v>
      </c>
      <c r="D1731" s="17">
        <v>128.4</v>
      </c>
      <c r="E1731" s="1">
        <f t="shared" si="156"/>
        <v>-0.45833333333333492</v>
      </c>
      <c r="F1731">
        <f t="shared" si="157"/>
        <v>14.43267866666592</v>
      </c>
      <c r="G1731">
        <f t="shared" si="158"/>
        <v>1195.0581691812492</v>
      </c>
      <c r="I1731">
        <f t="shared" si="159"/>
        <v>5.5555555555555556E-4</v>
      </c>
      <c r="J1731">
        <f t="shared" si="160"/>
        <v>2.0045387037036001E-2</v>
      </c>
      <c r="K1731">
        <f t="shared" si="161"/>
        <v>2.868139606034998</v>
      </c>
    </row>
    <row r="1732" spans="1:11" x14ac:dyDescent="0.35">
      <c r="A1732" s="6" t="s">
        <v>9</v>
      </c>
      <c r="B1732" s="6">
        <v>1729</v>
      </c>
      <c r="C1732" s="6">
        <v>252</v>
      </c>
      <c r="D1732" s="17">
        <v>126.5</v>
      </c>
      <c r="E1732" s="1">
        <f t="shared" si="156"/>
        <v>-0.59722222222222376</v>
      </c>
      <c r="F1732">
        <f t="shared" si="157"/>
        <v>0</v>
      </c>
      <c r="G1732">
        <f t="shared" si="158"/>
        <v>1177.3742866154832</v>
      </c>
      <c r="I1732">
        <f t="shared" si="159"/>
        <v>5.5555555555555556E-4</v>
      </c>
      <c r="J1732">
        <f t="shared" si="160"/>
        <v>0</v>
      </c>
      <c r="K1732">
        <f t="shared" si="161"/>
        <v>2.8256982878771595</v>
      </c>
    </row>
    <row r="1733" spans="1:11" x14ac:dyDescent="0.35">
      <c r="A1733" s="6" t="s">
        <v>9</v>
      </c>
      <c r="B1733" s="6">
        <v>1730</v>
      </c>
      <c r="C1733" s="6">
        <v>253</v>
      </c>
      <c r="D1733" s="17">
        <v>124.1</v>
      </c>
      <c r="E1733" s="1">
        <f t="shared" ref="E1733:E1796" si="162">($D1734-$D1732)/2/3.6</f>
        <v>-0.68055555555555636</v>
      </c>
      <c r="F1733">
        <f t="shared" ref="F1733:F1796" si="163">IF(D1733=0,0,MAX(0,0.285*(1600*E1733 + 1600*9.81*0.015 + 0.5*1.225*0.32*2.2*(D1733/3.6)^2)))</f>
        <v>0</v>
      </c>
      <c r="G1733">
        <f t="shared" ref="G1733:G1796" si="164">60*D1733/(2*PI()*3.6*0.285)</f>
        <v>1155.0367507429364</v>
      </c>
      <c r="I1733">
        <f t="shared" ref="I1733:I1796" si="165">1/1800</f>
        <v>5.5555555555555556E-4</v>
      </c>
      <c r="J1733">
        <f t="shared" ref="J1733:J1796" si="166">F1733/(M$3*3.6)</f>
        <v>0</v>
      </c>
      <c r="K1733">
        <f t="shared" ref="K1733:K1796" si="167">G1733*3.6/N$3</f>
        <v>2.7720882017830477</v>
      </c>
    </row>
    <row r="1734" spans="1:11" x14ac:dyDescent="0.35">
      <c r="A1734" s="6" t="s">
        <v>9</v>
      </c>
      <c r="B1734" s="6">
        <v>1731</v>
      </c>
      <c r="C1734" s="6">
        <v>254</v>
      </c>
      <c r="D1734" s="17">
        <v>121.6</v>
      </c>
      <c r="E1734" s="1">
        <f t="shared" si="162"/>
        <v>-0.70833333333333248</v>
      </c>
      <c r="F1734">
        <f t="shared" si="163"/>
        <v>0</v>
      </c>
      <c r="G1734">
        <f t="shared" si="164"/>
        <v>1131.7684842090337</v>
      </c>
      <c r="I1734">
        <f t="shared" si="165"/>
        <v>5.5555555555555556E-4</v>
      </c>
      <c r="J1734">
        <f t="shared" si="166"/>
        <v>0</v>
      </c>
      <c r="K1734">
        <f t="shared" si="167"/>
        <v>2.7162443621016807</v>
      </c>
    </row>
    <row r="1735" spans="1:11" x14ac:dyDescent="0.35">
      <c r="A1735" s="6" t="s">
        <v>9</v>
      </c>
      <c r="B1735" s="6">
        <v>1732</v>
      </c>
      <c r="C1735" s="6">
        <v>255</v>
      </c>
      <c r="D1735" s="17">
        <v>119</v>
      </c>
      <c r="E1735" s="1">
        <f t="shared" si="162"/>
        <v>-0.70833333333333248</v>
      </c>
      <c r="F1735">
        <f t="shared" si="163"/>
        <v>0</v>
      </c>
      <c r="G1735">
        <f t="shared" si="164"/>
        <v>1107.5694870137747</v>
      </c>
      <c r="I1735">
        <f t="shared" si="165"/>
        <v>5.5555555555555556E-4</v>
      </c>
      <c r="J1735">
        <f t="shared" si="166"/>
        <v>0</v>
      </c>
      <c r="K1735">
        <f t="shared" si="167"/>
        <v>2.6581667688330595</v>
      </c>
    </row>
    <row r="1736" spans="1:11" x14ac:dyDescent="0.35">
      <c r="A1736" s="6" t="s">
        <v>9</v>
      </c>
      <c r="B1736" s="6">
        <v>1733</v>
      </c>
      <c r="C1736" s="6">
        <v>256</v>
      </c>
      <c r="D1736" s="17">
        <v>116.5</v>
      </c>
      <c r="E1736" s="1">
        <f t="shared" si="162"/>
        <v>-0.68055555555555636</v>
      </c>
      <c r="F1736">
        <f t="shared" si="163"/>
        <v>0</v>
      </c>
      <c r="G1736">
        <f t="shared" si="164"/>
        <v>1084.3012204798717</v>
      </c>
      <c r="I1736">
        <f t="shared" si="165"/>
        <v>5.5555555555555556E-4</v>
      </c>
      <c r="J1736">
        <f t="shared" si="166"/>
        <v>0</v>
      </c>
      <c r="K1736">
        <f t="shared" si="167"/>
        <v>2.6023229291516921</v>
      </c>
    </row>
    <row r="1737" spans="1:11" x14ac:dyDescent="0.35">
      <c r="A1737" s="6" t="s">
        <v>9</v>
      </c>
      <c r="B1737" s="6">
        <v>1734</v>
      </c>
      <c r="C1737" s="6">
        <v>257</v>
      </c>
      <c r="D1737" s="17">
        <v>114.1</v>
      </c>
      <c r="E1737" s="1">
        <f t="shared" si="162"/>
        <v>-0.65277777777777812</v>
      </c>
      <c r="F1737">
        <f t="shared" si="163"/>
        <v>0</v>
      </c>
      <c r="G1737">
        <f t="shared" si="164"/>
        <v>1061.9636846073251</v>
      </c>
      <c r="I1737">
        <f t="shared" si="165"/>
        <v>5.5555555555555556E-4</v>
      </c>
      <c r="J1737">
        <f t="shared" si="166"/>
        <v>0</v>
      </c>
      <c r="K1737">
        <f t="shared" si="167"/>
        <v>2.5487128430575803</v>
      </c>
    </row>
    <row r="1738" spans="1:11" x14ac:dyDescent="0.35">
      <c r="A1738" s="6" t="s">
        <v>9</v>
      </c>
      <c r="B1738" s="6">
        <v>1735</v>
      </c>
      <c r="C1738" s="6">
        <v>258</v>
      </c>
      <c r="D1738" s="17">
        <v>111.8</v>
      </c>
      <c r="E1738" s="1">
        <f t="shared" si="162"/>
        <v>-0.63888888888888806</v>
      </c>
      <c r="F1738">
        <f t="shared" si="163"/>
        <v>0</v>
      </c>
      <c r="G1738">
        <f t="shared" si="164"/>
        <v>1040.5568793961345</v>
      </c>
      <c r="I1738">
        <f t="shared" si="165"/>
        <v>5.5555555555555556E-4</v>
      </c>
      <c r="J1738">
        <f t="shared" si="166"/>
        <v>0</v>
      </c>
      <c r="K1738">
        <f t="shared" si="167"/>
        <v>2.4973365105507228</v>
      </c>
    </row>
    <row r="1739" spans="1:11" x14ac:dyDescent="0.35">
      <c r="A1739" s="6" t="s">
        <v>9</v>
      </c>
      <c r="B1739" s="6">
        <v>1736</v>
      </c>
      <c r="C1739" s="6">
        <v>259</v>
      </c>
      <c r="D1739" s="17">
        <v>109.5</v>
      </c>
      <c r="E1739" s="1">
        <f t="shared" si="162"/>
        <v>-0.65277777777777812</v>
      </c>
      <c r="F1739">
        <f t="shared" si="163"/>
        <v>0</v>
      </c>
      <c r="G1739">
        <f t="shared" si="164"/>
        <v>1019.1500741849439</v>
      </c>
      <c r="I1739">
        <f t="shared" si="165"/>
        <v>5.5555555555555556E-4</v>
      </c>
      <c r="J1739">
        <f t="shared" si="166"/>
        <v>0</v>
      </c>
      <c r="K1739">
        <f t="shared" si="167"/>
        <v>2.4459601780438653</v>
      </c>
    </row>
    <row r="1740" spans="1:11" x14ac:dyDescent="0.35">
      <c r="A1740" s="6" t="s">
        <v>9</v>
      </c>
      <c r="B1740" s="6">
        <v>1737</v>
      </c>
      <c r="C1740" s="6">
        <v>260</v>
      </c>
      <c r="D1740" s="17">
        <v>107.1</v>
      </c>
      <c r="E1740" s="1">
        <f t="shared" si="162"/>
        <v>-0.65277777777777812</v>
      </c>
      <c r="F1740">
        <f t="shared" si="163"/>
        <v>0</v>
      </c>
      <c r="G1740">
        <f t="shared" si="164"/>
        <v>996.81253831239724</v>
      </c>
      <c r="I1740">
        <f t="shared" si="165"/>
        <v>5.5555555555555556E-4</v>
      </c>
      <c r="J1740">
        <f t="shared" si="166"/>
        <v>0</v>
      </c>
      <c r="K1740">
        <f t="shared" si="167"/>
        <v>2.3923500919497536</v>
      </c>
    </row>
    <row r="1741" spans="1:11" x14ac:dyDescent="0.35">
      <c r="A1741" s="6" t="s">
        <v>9</v>
      </c>
      <c r="B1741" s="6">
        <v>1738</v>
      </c>
      <c r="C1741" s="6">
        <v>261</v>
      </c>
      <c r="D1741" s="17">
        <v>104.8</v>
      </c>
      <c r="E1741" s="1">
        <f t="shared" si="162"/>
        <v>-0.63888888888888806</v>
      </c>
      <c r="F1741">
        <f t="shared" si="163"/>
        <v>0</v>
      </c>
      <c r="G1741">
        <f t="shared" si="164"/>
        <v>975.40573310120658</v>
      </c>
      <c r="I1741">
        <f t="shared" si="165"/>
        <v>5.5555555555555556E-4</v>
      </c>
      <c r="J1741">
        <f t="shared" si="166"/>
        <v>0</v>
      </c>
      <c r="K1741">
        <f t="shared" si="167"/>
        <v>2.3409737594428957</v>
      </c>
    </row>
    <row r="1742" spans="1:11" x14ac:dyDescent="0.35">
      <c r="A1742" s="6" t="s">
        <v>9</v>
      </c>
      <c r="B1742" s="6">
        <v>1739</v>
      </c>
      <c r="C1742" s="6">
        <v>262</v>
      </c>
      <c r="D1742" s="17">
        <v>102.5</v>
      </c>
      <c r="E1742" s="1">
        <f t="shared" si="162"/>
        <v>-0.61111111111110994</v>
      </c>
      <c r="F1742">
        <f t="shared" si="163"/>
        <v>0</v>
      </c>
      <c r="G1742">
        <f t="shared" si="164"/>
        <v>953.99892789001603</v>
      </c>
      <c r="I1742">
        <f t="shared" si="165"/>
        <v>5.5555555555555556E-4</v>
      </c>
      <c r="J1742">
        <f t="shared" si="166"/>
        <v>0</v>
      </c>
      <c r="K1742">
        <f t="shared" si="167"/>
        <v>2.2895974269360386</v>
      </c>
    </row>
    <row r="1743" spans="1:11" x14ac:dyDescent="0.35">
      <c r="A1743" s="6" t="s">
        <v>9</v>
      </c>
      <c r="B1743" s="6">
        <v>1740</v>
      </c>
      <c r="C1743" s="6">
        <v>263</v>
      </c>
      <c r="D1743" s="17">
        <v>100.4</v>
      </c>
      <c r="E1743" s="1">
        <f t="shared" si="162"/>
        <v>-0.54166666666666741</v>
      </c>
      <c r="F1743">
        <f t="shared" si="163"/>
        <v>0</v>
      </c>
      <c r="G1743">
        <f t="shared" si="164"/>
        <v>934.45358400153759</v>
      </c>
      <c r="I1743">
        <f t="shared" si="165"/>
        <v>5.5555555555555556E-4</v>
      </c>
      <c r="J1743">
        <f t="shared" si="166"/>
        <v>0</v>
      </c>
      <c r="K1743">
        <f t="shared" si="167"/>
        <v>2.2426886016036902</v>
      </c>
    </row>
    <row r="1744" spans="1:11" x14ac:dyDescent="0.35">
      <c r="A1744" s="6" t="s">
        <v>9</v>
      </c>
      <c r="B1744" s="6">
        <v>1741</v>
      </c>
      <c r="C1744" s="6">
        <v>264</v>
      </c>
      <c r="D1744" s="17">
        <v>98.6</v>
      </c>
      <c r="E1744" s="1">
        <f t="shared" si="162"/>
        <v>-0.44444444444444481</v>
      </c>
      <c r="F1744">
        <f t="shared" si="163"/>
        <v>0</v>
      </c>
      <c r="G1744">
        <f t="shared" si="164"/>
        <v>917.70043209712753</v>
      </c>
      <c r="I1744">
        <f t="shared" si="165"/>
        <v>5.5555555555555556E-4</v>
      </c>
      <c r="J1744">
        <f t="shared" si="166"/>
        <v>0</v>
      </c>
      <c r="K1744">
        <f t="shared" si="167"/>
        <v>2.202481037033106</v>
      </c>
    </row>
    <row r="1745" spans="1:11" x14ac:dyDescent="0.35">
      <c r="A1745" s="6" t="s">
        <v>9</v>
      </c>
      <c r="B1745" s="6">
        <v>1742</v>
      </c>
      <c r="C1745" s="6">
        <v>265</v>
      </c>
      <c r="D1745" s="17">
        <v>97.2</v>
      </c>
      <c r="E1745" s="1">
        <f t="shared" si="162"/>
        <v>-0.37499999999999839</v>
      </c>
      <c r="F1745">
        <f t="shared" si="163"/>
        <v>0</v>
      </c>
      <c r="G1745">
        <f t="shared" si="164"/>
        <v>904.67020283814202</v>
      </c>
      <c r="I1745">
        <f t="shared" si="165"/>
        <v>5.5555555555555556E-4</v>
      </c>
      <c r="J1745">
        <f t="shared" si="166"/>
        <v>0</v>
      </c>
      <c r="K1745">
        <f t="shared" si="167"/>
        <v>2.1712084868115409</v>
      </c>
    </row>
    <row r="1746" spans="1:11" x14ac:dyDescent="0.35">
      <c r="A1746" s="6" t="s">
        <v>9</v>
      </c>
      <c r="B1746" s="6">
        <v>1743</v>
      </c>
      <c r="C1746" s="6">
        <v>266</v>
      </c>
      <c r="D1746" s="17">
        <v>95.9</v>
      </c>
      <c r="E1746" s="1">
        <f t="shared" si="162"/>
        <v>-0.33333333333333409</v>
      </c>
      <c r="F1746">
        <f t="shared" si="163"/>
        <v>2.3082992685181813</v>
      </c>
      <c r="G1746">
        <f t="shared" si="164"/>
        <v>892.57070424051255</v>
      </c>
      <c r="I1746">
        <f t="shared" si="165"/>
        <v>5.5555555555555556E-4</v>
      </c>
      <c r="J1746">
        <f t="shared" si="166"/>
        <v>3.2059712062752518E-3</v>
      </c>
      <c r="K1746">
        <f t="shared" si="167"/>
        <v>2.14216969017723</v>
      </c>
    </row>
    <row r="1747" spans="1:11" x14ac:dyDescent="0.35">
      <c r="A1747" s="6" t="s">
        <v>9</v>
      </c>
      <c r="B1747" s="6">
        <v>1744</v>
      </c>
      <c r="C1747" s="6">
        <v>267</v>
      </c>
      <c r="D1747" s="17">
        <v>94.8</v>
      </c>
      <c r="E1747" s="1">
        <f t="shared" si="162"/>
        <v>-0.29166666666666785</v>
      </c>
      <c r="F1747">
        <f t="shared" si="163"/>
        <v>19.319174666666115</v>
      </c>
      <c r="G1747">
        <f t="shared" si="164"/>
        <v>882.33266696559531</v>
      </c>
      <c r="I1747">
        <f t="shared" si="165"/>
        <v>5.5555555555555556E-4</v>
      </c>
      <c r="J1747">
        <f t="shared" si="166"/>
        <v>2.683218703703627E-2</v>
      </c>
      <c r="K1747">
        <f t="shared" si="167"/>
        <v>2.1175984007174287</v>
      </c>
    </row>
    <row r="1748" spans="1:11" x14ac:dyDescent="0.35">
      <c r="A1748" s="6" t="s">
        <v>9</v>
      </c>
      <c r="B1748" s="6">
        <v>1745</v>
      </c>
      <c r="C1748" s="6">
        <v>268</v>
      </c>
      <c r="D1748" s="17">
        <v>93.8</v>
      </c>
      <c r="E1748" s="1">
        <f t="shared" si="162"/>
        <v>-0.27777777777777779</v>
      </c>
      <c r="F1748">
        <f t="shared" si="163"/>
        <v>23.864125962962955</v>
      </c>
      <c r="G1748">
        <f t="shared" si="164"/>
        <v>873.02536035203411</v>
      </c>
      <c r="I1748">
        <f t="shared" si="165"/>
        <v>5.5555555555555556E-4</v>
      </c>
      <c r="J1748">
        <f t="shared" si="166"/>
        <v>3.3144619393004102E-2</v>
      </c>
      <c r="K1748">
        <f t="shared" si="167"/>
        <v>2.0952608648448821</v>
      </c>
    </row>
    <row r="1749" spans="1:11" x14ac:dyDescent="0.35">
      <c r="A1749" s="6" t="s">
        <v>9</v>
      </c>
      <c r="B1749" s="6">
        <v>1746</v>
      </c>
      <c r="C1749" s="6">
        <v>269</v>
      </c>
      <c r="D1749" s="17">
        <v>92.8</v>
      </c>
      <c r="E1749" s="1">
        <f t="shared" si="162"/>
        <v>-0.27777777777777779</v>
      </c>
      <c r="F1749">
        <f t="shared" si="163"/>
        <v>22.09470874074071</v>
      </c>
      <c r="G1749">
        <f t="shared" si="164"/>
        <v>863.71805373847303</v>
      </c>
      <c r="I1749">
        <f t="shared" si="165"/>
        <v>5.5555555555555556E-4</v>
      </c>
      <c r="J1749">
        <f t="shared" si="166"/>
        <v>3.0687095473250988E-2</v>
      </c>
      <c r="K1749">
        <f t="shared" si="167"/>
        <v>2.072923328972335</v>
      </c>
    </row>
    <row r="1750" spans="1:11" x14ac:dyDescent="0.35">
      <c r="A1750" s="6" t="s">
        <v>9</v>
      </c>
      <c r="B1750" s="6">
        <v>1747</v>
      </c>
      <c r="C1750" s="6">
        <v>270</v>
      </c>
      <c r="D1750" s="17">
        <v>91.8</v>
      </c>
      <c r="E1750" s="1">
        <f t="shared" si="162"/>
        <v>-0.24999999999999961</v>
      </c>
      <c r="F1750">
        <f t="shared" si="163"/>
        <v>33.010923000000183</v>
      </c>
      <c r="G1750">
        <f t="shared" si="164"/>
        <v>854.41074712491184</v>
      </c>
      <c r="I1750">
        <f t="shared" si="165"/>
        <v>5.5555555555555556E-4</v>
      </c>
      <c r="J1750">
        <f t="shared" si="166"/>
        <v>4.5848504166666922E-2</v>
      </c>
      <c r="K1750">
        <f t="shared" si="167"/>
        <v>2.0505857930997884</v>
      </c>
    </row>
    <row r="1751" spans="1:11" x14ac:dyDescent="0.35">
      <c r="A1751" s="6" t="s">
        <v>9</v>
      </c>
      <c r="B1751" s="6">
        <v>1748</v>
      </c>
      <c r="C1751" s="6">
        <v>271</v>
      </c>
      <c r="D1751" s="17">
        <v>91</v>
      </c>
      <c r="E1751" s="1">
        <f t="shared" si="162"/>
        <v>-0.22222222222222143</v>
      </c>
      <c r="F1751">
        <f t="shared" si="163"/>
        <v>44.290882407407771</v>
      </c>
      <c r="G1751">
        <f t="shared" si="164"/>
        <v>846.96490183406297</v>
      </c>
      <c r="I1751">
        <f t="shared" si="165"/>
        <v>5.5555555555555556E-4</v>
      </c>
      <c r="J1751">
        <f t="shared" si="166"/>
        <v>6.1515114454733018E-2</v>
      </c>
      <c r="K1751">
        <f t="shared" si="167"/>
        <v>2.0327157644017513</v>
      </c>
    </row>
    <row r="1752" spans="1:11" x14ac:dyDescent="0.35">
      <c r="A1752" s="6" t="s">
        <v>9</v>
      </c>
      <c r="B1752" s="6">
        <v>1749</v>
      </c>
      <c r="C1752" s="6">
        <v>272</v>
      </c>
      <c r="D1752" s="17">
        <v>90.2</v>
      </c>
      <c r="E1752" s="1">
        <f t="shared" si="162"/>
        <v>-0.19444444444444522</v>
      </c>
      <c r="F1752">
        <f t="shared" si="163"/>
        <v>55.58297929629596</v>
      </c>
      <c r="G1752">
        <f t="shared" si="164"/>
        <v>839.51905654321411</v>
      </c>
      <c r="I1752">
        <f t="shared" si="165"/>
        <v>5.5555555555555556E-4</v>
      </c>
      <c r="J1752">
        <f t="shared" si="166"/>
        <v>7.7198582355966605E-2</v>
      </c>
      <c r="K1752">
        <f t="shared" si="167"/>
        <v>2.0148457357037137</v>
      </c>
    </row>
    <row r="1753" spans="1:11" x14ac:dyDescent="0.35">
      <c r="A1753" s="6" t="s">
        <v>9</v>
      </c>
      <c r="B1753" s="6">
        <v>1750</v>
      </c>
      <c r="C1753" s="6">
        <v>273</v>
      </c>
      <c r="D1753" s="17">
        <v>89.6</v>
      </c>
      <c r="E1753" s="1">
        <f t="shared" si="162"/>
        <v>-0.15277777777777896</v>
      </c>
      <c r="F1753">
        <f t="shared" si="163"/>
        <v>73.56001718518462</v>
      </c>
      <c r="G1753">
        <f t="shared" si="164"/>
        <v>833.93467257507734</v>
      </c>
      <c r="I1753">
        <f t="shared" si="165"/>
        <v>5.5555555555555556E-4</v>
      </c>
      <c r="J1753">
        <f t="shared" si="166"/>
        <v>0.10216669053497864</v>
      </c>
      <c r="K1753">
        <f t="shared" si="167"/>
        <v>2.0014432141801857</v>
      </c>
    </row>
    <row r="1754" spans="1:11" x14ac:dyDescent="0.35">
      <c r="A1754" s="6" t="s">
        <v>9</v>
      </c>
      <c r="B1754" s="6">
        <v>1751</v>
      </c>
      <c r="C1754" s="6">
        <v>274</v>
      </c>
      <c r="D1754" s="17">
        <v>89.1</v>
      </c>
      <c r="E1754" s="1">
        <f t="shared" si="162"/>
        <v>-0.1388888888888889</v>
      </c>
      <c r="F1754">
        <f t="shared" si="163"/>
        <v>79.046097416666626</v>
      </c>
      <c r="G1754">
        <f t="shared" si="164"/>
        <v>829.28101926829686</v>
      </c>
      <c r="I1754">
        <f t="shared" si="165"/>
        <v>5.5555555555555556E-4</v>
      </c>
      <c r="J1754">
        <f t="shared" si="166"/>
        <v>0.10978624641203698</v>
      </c>
      <c r="K1754">
        <f t="shared" si="167"/>
        <v>1.9902744462439126</v>
      </c>
    </row>
    <row r="1755" spans="1:11" x14ac:dyDescent="0.35">
      <c r="A1755" s="6" t="s">
        <v>9</v>
      </c>
      <c r="B1755" s="6">
        <v>1752</v>
      </c>
      <c r="C1755" s="6">
        <v>275</v>
      </c>
      <c r="D1755" s="17">
        <v>88.6</v>
      </c>
      <c r="E1755" s="1">
        <f t="shared" si="162"/>
        <v>-0.1388888888888889</v>
      </c>
      <c r="F1755">
        <f t="shared" si="163"/>
        <v>78.203585518518494</v>
      </c>
      <c r="G1755">
        <f t="shared" si="164"/>
        <v>824.62736596151626</v>
      </c>
      <c r="I1755">
        <f t="shared" si="165"/>
        <v>5.5555555555555556E-4</v>
      </c>
      <c r="J1755">
        <f t="shared" si="166"/>
        <v>0.10861609099794235</v>
      </c>
      <c r="K1755">
        <f t="shared" si="167"/>
        <v>1.9791056783076393</v>
      </c>
    </row>
    <row r="1756" spans="1:11" x14ac:dyDescent="0.35">
      <c r="A1756" s="6" t="s">
        <v>9</v>
      </c>
      <c r="B1756" s="6">
        <v>1753</v>
      </c>
      <c r="C1756" s="6">
        <v>276</v>
      </c>
      <c r="D1756" s="17">
        <v>88.1</v>
      </c>
      <c r="E1756" s="1">
        <f t="shared" si="162"/>
        <v>-0.1388888888888889</v>
      </c>
      <c r="F1756">
        <f t="shared" si="163"/>
        <v>77.365814824074064</v>
      </c>
      <c r="G1756">
        <f t="shared" si="164"/>
        <v>819.97371265473566</v>
      </c>
      <c r="I1756">
        <f t="shared" si="165"/>
        <v>5.5555555555555556E-4</v>
      </c>
      <c r="J1756">
        <f t="shared" si="166"/>
        <v>0.10745252058899175</v>
      </c>
      <c r="K1756">
        <f t="shared" si="167"/>
        <v>1.9679369103713655</v>
      </c>
    </row>
    <row r="1757" spans="1:11" x14ac:dyDescent="0.35">
      <c r="A1757" s="6" t="s">
        <v>9</v>
      </c>
      <c r="B1757" s="6">
        <v>1754</v>
      </c>
      <c r="C1757" s="6">
        <v>277</v>
      </c>
      <c r="D1757" s="17">
        <v>87.6</v>
      </c>
      <c r="E1757" s="1">
        <f t="shared" si="162"/>
        <v>-0.1388888888888889</v>
      </c>
      <c r="F1757">
        <f t="shared" si="163"/>
        <v>76.532785333333337</v>
      </c>
      <c r="G1757">
        <f t="shared" si="164"/>
        <v>815.32005934795518</v>
      </c>
      <c r="I1757">
        <f t="shared" si="165"/>
        <v>5.5555555555555556E-4</v>
      </c>
      <c r="J1757">
        <f t="shared" si="166"/>
        <v>0.10629553518518518</v>
      </c>
      <c r="K1757">
        <f t="shared" si="167"/>
        <v>1.9567681424350925</v>
      </c>
    </row>
    <row r="1758" spans="1:11" x14ac:dyDescent="0.35">
      <c r="A1758" s="6" t="s">
        <v>9</v>
      </c>
      <c r="B1758" s="6">
        <v>1755</v>
      </c>
      <c r="C1758" s="6">
        <v>278</v>
      </c>
      <c r="D1758" s="17">
        <v>87.1</v>
      </c>
      <c r="E1758" s="1">
        <f t="shared" si="162"/>
        <v>-0.1388888888888889</v>
      </c>
      <c r="F1758">
        <f t="shared" si="163"/>
        <v>75.704497046296282</v>
      </c>
      <c r="G1758">
        <f t="shared" si="164"/>
        <v>810.66640604117458</v>
      </c>
      <c r="I1758">
        <f t="shared" si="165"/>
        <v>5.5555555555555556E-4</v>
      </c>
      <c r="J1758">
        <f t="shared" si="166"/>
        <v>0.10514513478652261</v>
      </c>
      <c r="K1758">
        <f t="shared" si="167"/>
        <v>1.9455993744988191</v>
      </c>
    </row>
    <row r="1759" spans="1:11" x14ac:dyDescent="0.35">
      <c r="A1759" s="6" t="s">
        <v>9</v>
      </c>
      <c r="B1759" s="6">
        <v>1756</v>
      </c>
      <c r="C1759" s="6">
        <v>279</v>
      </c>
      <c r="D1759" s="17">
        <v>86.6</v>
      </c>
      <c r="E1759" s="1">
        <f t="shared" si="162"/>
        <v>-0.1388888888888889</v>
      </c>
      <c r="F1759">
        <f t="shared" si="163"/>
        <v>74.880949962962944</v>
      </c>
      <c r="G1759">
        <f t="shared" si="164"/>
        <v>806.01275273439398</v>
      </c>
      <c r="I1759">
        <f t="shared" si="165"/>
        <v>5.5555555555555556E-4</v>
      </c>
      <c r="J1759">
        <f t="shared" si="166"/>
        <v>0.10400131939300408</v>
      </c>
      <c r="K1759">
        <f t="shared" si="167"/>
        <v>1.9344306065625456</v>
      </c>
    </row>
    <row r="1760" spans="1:11" x14ac:dyDescent="0.35">
      <c r="A1760" s="6" t="s">
        <v>9</v>
      </c>
      <c r="B1760" s="6">
        <v>1757</v>
      </c>
      <c r="C1760" s="6">
        <v>280</v>
      </c>
      <c r="D1760" s="17">
        <v>86.1</v>
      </c>
      <c r="E1760" s="1">
        <f t="shared" si="162"/>
        <v>-0.15277777777777699</v>
      </c>
      <c r="F1760">
        <f t="shared" si="163"/>
        <v>67.728810750000349</v>
      </c>
      <c r="G1760">
        <f t="shared" si="164"/>
        <v>801.35909942761339</v>
      </c>
      <c r="I1760">
        <f t="shared" si="165"/>
        <v>5.5555555555555556E-4</v>
      </c>
      <c r="J1760">
        <f t="shared" si="166"/>
        <v>9.4067792708333819E-2</v>
      </c>
      <c r="K1760">
        <f t="shared" si="167"/>
        <v>1.9232618386262721</v>
      </c>
    </row>
    <row r="1761" spans="1:11" x14ac:dyDescent="0.35">
      <c r="A1761" s="6" t="s">
        <v>9</v>
      </c>
      <c r="B1761" s="6">
        <v>1758</v>
      </c>
      <c r="C1761" s="6">
        <v>281</v>
      </c>
      <c r="D1761" s="17">
        <v>85.5</v>
      </c>
      <c r="E1761" s="1">
        <f t="shared" si="162"/>
        <v>-0.15277777777777699</v>
      </c>
      <c r="F1761">
        <f t="shared" si="163"/>
        <v>66.752502083333695</v>
      </c>
      <c r="G1761">
        <f t="shared" si="164"/>
        <v>795.77471545947674</v>
      </c>
      <c r="I1761">
        <f t="shared" si="165"/>
        <v>5.5555555555555556E-4</v>
      </c>
      <c r="J1761">
        <f t="shared" si="166"/>
        <v>9.2711808449074576E-2</v>
      </c>
      <c r="K1761">
        <f t="shared" si="167"/>
        <v>1.9098593171027443</v>
      </c>
    </row>
    <row r="1762" spans="1:11" x14ac:dyDescent="0.35">
      <c r="A1762" s="6" t="s">
        <v>9</v>
      </c>
      <c r="B1762" s="6">
        <v>1759</v>
      </c>
      <c r="C1762" s="6">
        <v>282</v>
      </c>
      <c r="D1762" s="17">
        <v>85</v>
      </c>
      <c r="E1762" s="1">
        <f t="shared" si="162"/>
        <v>-0.15277777777777699</v>
      </c>
      <c r="F1762">
        <f t="shared" si="163"/>
        <v>65.944126851852204</v>
      </c>
      <c r="G1762">
        <f t="shared" si="164"/>
        <v>791.12106215269614</v>
      </c>
      <c r="I1762">
        <f t="shared" si="165"/>
        <v>5.5555555555555556E-4</v>
      </c>
      <c r="J1762">
        <f t="shared" si="166"/>
        <v>9.1589065072016945E-2</v>
      </c>
      <c r="K1762">
        <f t="shared" si="167"/>
        <v>1.8986905491664707</v>
      </c>
    </row>
    <row r="1763" spans="1:11" x14ac:dyDescent="0.35">
      <c r="A1763" s="6" t="s">
        <v>9</v>
      </c>
      <c r="B1763" s="6">
        <v>1760</v>
      </c>
      <c r="C1763" s="6">
        <v>283</v>
      </c>
      <c r="D1763" s="17">
        <v>84.4</v>
      </c>
      <c r="E1763" s="1">
        <f t="shared" si="162"/>
        <v>-0.16666666666666705</v>
      </c>
      <c r="F1763">
        <f t="shared" si="163"/>
        <v>58.647001629629465</v>
      </c>
      <c r="G1763">
        <f t="shared" si="164"/>
        <v>785.53667818455949</v>
      </c>
      <c r="I1763">
        <f t="shared" si="165"/>
        <v>5.5555555555555556E-4</v>
      </c>
      <c r="J1763">
        <f t="shared" si="166"/>
        <v>8.1454168930040927E-2</v>
      </c>
      <c r="K1763">
        <f t="shared" si="167"/>
        <v>1.8852880276429429</v>
      </c>
    </row>
    <row r="1764" spans="1:11" x14ac:dyDescent="0.35">
      <c r="A1764" s="6" t="s">
        <v>9</v>
      </c>
      <c r="B1764" s="6">
        <v>1761</v>
      </c>
      <c r="C1764" s="6">
        <v>284</v>
      </c>
      <c r="D1764" s="17">
        <v>83.8</v>
      </c>
      <c r="E1764" s="1">
        <f t="shared" si="162"/>
        <v>-0.16666666666666705</v>
      </c>
      <c r="F1764">
        <f t="shared" si="163"/>
        <v>57.690037074073899</v>
      </c>
      <c r="G1764">
        <f t="shared" si="164"/>
        <v>779.95229421642284</v>
      </c>
      <c r="I1764">
        <f t="shared" si="165"/>
        <v>5.5555555555555556E-4</v>
      </c>
      <c r="J1764">
        <f t="shared" si="166"/>
        <v>8.0125051491769309E-2</v>
      </c>
      <c r="K1764">
        <f t="shared" si="167"/>
        <v>1.8718855061194148</v>
      </c>
    </row>
    <row r="1765" spans="1:11" x14ac:dyDescent="0.35">
      <c r="A1765" s="6" t="s">
        <v>9</v>
      </c>
      <c r="B1765" s="6">
        <v>1762</v>
      </c>
      <c r="C1765" s="6">
        <v>285</v>
      </c>
      <c r="D1765" s="17">
        <v>83.2</v>
      </c>
      <c r="E1765" s="1">
        <f t="shared" si="162"/>
        <v>-0.16666666666666705</v>
      </c>
      <c r="F1765">
        <f t="shared" si="163"/>
        <v>56.739899851851682</v>
      </c>
      <c r="G1765">
        <f t="shared" si="164"/>
        <v>774.36791024828619</v>
      </c>
      <c r="I1765">
        <f t="shared" si="165"/>
        <v>5.5555555555555556E-4</v>
      </c>
      <c r="J1765">
        <f t="shared" si="166"/>
        <v>7.8805416460905109E-2</v>
      </c>
      <c r="K1765">
        <f t="shared" si="167"/>
        <v>1.8584829845958868</v>
      </c>
    </row>
    <row r="1766" spans="1:11" x14ac:dyDescent="0.35">
      <c r="A1766" s="6" t="s">
        <v>9</v>
      </c>
      <c r="B1766" s="6">
        <v>1763</v>
      </c>
      <c r="C1766" s="6">
        <v>286</v>
      </c>
      <c r="D1766" s="17">
        <v>82.6</v>
      </c>
      <c r="E1766" s="1">
        <f t="shared" si="162"/>
        <v>-0.16666666666666705</v>
      </c>
      <c r="F1766">
        <f t="shared" si="163"/>
        <v>55.796589962962784</v>
      </c>
      <c r="G1766">
        <f t="shared" si="164"/>
        <v>768.78352628014943</v>
      </c>
      <c r="I1766">
        <f t="shared" si="165"/>
        <v>5.5555555555555556E-4</v>
      </c>
      <c r="J1766">
        <f t="shared" si="166"/>
        <v>7.7495263837448314E-2</v>
      </c>
      <c r="K1766">
        <f t="shared" si="167"/>
        <v>1.8450804630723587</v>
      </c>
    </row>
    <row r="1767" spans="1:11" x14ac:dyDescent="0.35">
      <c r="A1767" s="6" t="s">
        <v>9</v>
      </c>
      <c r="B1767" s="6">
        <v>1764</v>
      </c>
      <c r="C1767" s="6">
        <v>287</v>
      </c>
      <c r="D1767" s="17">
        <v>82</v>
      </c>
      <c r="E1767" s="1">
        <f t="shared" si="162"/>
        <v>-0.18055555555555516</v>
      </c>
      <c r="F1767">
        <f t="shared" si="163"/>
        <v>48.526774074074261</v>
      </c>
      <c r="G1767">
        <f t="shared" si="164"/>
        <v>763.19914231201278</v>
      </c>
      <c r="I1767">
        <f t="shared" si="165"/>
        <v>5.5555555555555556E-4</v>
      </c>
      <c r="J1767">
        <f t="shared" si="166"/>
        <v>6.7398297325103135E-2</v>
      </c>
      <c r="K1767">
        <f t="shared" si="167"/>
        <v>1.8316779415488309</v>
      </c>
    </row>
    <row r="1768" spans="1:11" x14ac:dyDescent="0.35">
      <c r="A1768" s="6" t="s">
        <v>9</v>
      </c>
      <c r="B1768" s="6">
        <v>1765</v>
      </c>
      <c r="C1768" s="6">
        <v>288</v>
      </c>
      <c r="D1768" s="17">
        <v>81.3</v>
      </c>
      <c r="E1768" s="1">
        <f t="shared" si="162"/>
        <v>-0.22222222222222143</v>
      </c>
      <c r="F1768">
        <f t="shared" si="163"/>
        <v>28.442840083333685</v>
      </c>
      <c r="G1768">
        <f t="shared" si="164"/>
        <v>756.68402768251997</v>
      </c>
      <c r="I1768">
        <f t="shared" si="165"/>
        <v>5.5555555555555556E-4</v>
      </c>
      <c r="J1768">
        <f t="shared" si="166"/>
        <v>3.9503944560185675E-2</v>
      </c>
      <c r="K1768">
        <f t="shared" si="167"/>
        <v>1.8160416664380479</v>
      </c>
    </row>
    <row r="1769" spans="1:11" x14ac:dyDescent="0.35">
      <c r="A1769" s="6" t="s">
        <v>9</v>
      </c>
      <c r="B1769" s="6">
        <v>1766</v>
      </c>
      <c r="C1769" s="6">
        <v>289</v>
      </c>
      <c r="D1769" s="17">
        <v>80.400000000000006</v>
      </c>
      <c r="E1769" s="1">
        <f t="shared" si="162"/>
        <v>-0.30555555555555597</v>
      </c>
      <c r="F1769">
        <f t="shared" si="163"/>
        <v>0</v>
      </c>
      <c r="G1769">
        <f t="shared" si="164"/>
        <v>748.30745173031494</v>
      </c>
      <c r="I1769">
        <f t="shared" si="165"/>
        <v>5.5555555555555556E-4</v>
      </c>
      <c r="J1769">
        <f t="shared" si="166"/>
        <v>0</v>
      </c>
      <c r="K1769">
        <f t="shared" si="167"/>
        <v>1.795937884152756</v>
      </c>
    </row>
    <row r="1770" spans="1:11" x14ac:dyDescent="0.35">
      <c r="A1770" s="6" t="s">
        <v>9</v>
      </c>
      <c r="B1770" s="6">
        <v>1767</v>
      </c>
      <c r="C1770" s="6">
        <v>290</v>
      </c>
      <c r="D1770" s="17">
        <v>79.099999999999994</v>
      </c>
      <c r="E1770" s="1">
        <f t="shared" si="162"/>
        <v>-0.41666666666666663</v>
      </c>
      <c r="F1770">
        <f t="shared" si="163"/>
        <v>0</v>
      </c>
      <c r="G1770">
        <f t="shared" si="164"/>
        <v>736.20795313268547</v>
      </c>
      <c r="I1770">
        <f t="shared" si="165"/>
        <v>5.5555555555555556E-4</v>
      </c>
      <c r="J1770">
        <f t="shared" si="166"/>
        <v>0</v>
      </c>
      <c r="K1770">
        <f t="shared" si="167"/>
        <v>1.7668990875184452</v>
      </c>
    </row>
    <row r="1771" spans="1:11" x14ac:dyDescent="0.35">
      <c r="A1771" s="6" t="s">
        <v>9</v>
      </c>
      <c r="B1771" s="6">
        <v>1768</v>
      </c>
      <c r="C1771" s="6">
        <v>291</v>
      </c>
      <c r="D1771" s="17">
        <v>77.400000000000006</v>
      </c>
      <c r="E1771" s="1">
        <f t="shared" si="162"/>
        <v>-0.55555555555555558</v>
      </c>
      <c r="F1771">
        <f t="shared" si="163"/>
        <v>0</v>
      </c>
      <c r="G1771">
        <f t="shared" si="164"/>
        <v>720.38553188963158</v>
      </c>
      <c r="I1771">
        <f t="shared" si="165"/>
        <v>5.5555555555555556E-4</v>
      </c>
      <c r="J1771">
        <f t="shared" si="166"/>
        <v>0</v>
      </c>
      <c r="K1771">
        <f t="shared" si="167"/>
        <v>1.7289252765351157</v>
      </c>
    </row>
    <row r="1772" spans="1:11" x14ac:dyDescent="0.35">
      <c r="A1772" s="6" t="s">
        <v>9</v>
      </c>
      <c r="B1772" s="6">
        <v>1769</v>
      </c>
      <c r="C1772" s="6">
        <v>292</v>
      </c>
      <c r="D1772" s="17">
        <v>75.099999999999994</v>
      </c>
      <c r="E1772" s="1">
        <f t="shared" si="162"/>
        <v>-0.70833333333333448</v>
      </c>
      <c r="F1772">
        <f t="shared" si="163"/>
        <v>0</v>
      </c>
      <c r="G1772">
        <f t="shared" si="164"/>
        <v>698.97872667844103</v>
      </c>
      <c r="I1772">
        <f t="shared" si="165"/>
        <v>5.5555555555555556E-4</v>
      </c>
      <c r="J1772">
        <f t="shared" si="166"/>
        <v>0</v>
      </c>
      <c r="K1772">
        <f t="shared" si="167"/>
        <v>1.6775489440282585</v>
      </c>
    </row>
    <row r="1773" spans="1:11" x14ac:dyDescent="0.35">
      <c r="A1773" s="6" t="s">
        <v>9</v>
      </c>
      <c r="B1773" s="6">
        <v>1770</v>
      </c>
      <c r="C1773" s="6">
        <v>293</v>
      </c>
      <c r="D1773" s="17">
        <v>72.3</v>
      </c>
      <c r="E1773" s="1">
        <f t="shared" si="162"/>
        <v>-0.83333333333333326</v>
      </c>
      <c r="F1773">
        <f t="shared" si="163"/>
        <v>0</v>
      </c>
      <c r="G1773">
        <f t="shared" si="164"/>
        <v>672.91826816046978</v>
      </c>
      <c r="I1773">
        <f t="shared" si="165"/>
        <v>5.5555555555555556E-4</v>
      </c>
      <c r="J1773">
        <f t="shared" si="166"/>
        <v>0</v>
      </c>
      <c r="K1773">
        <f t="shared" si="167"/>
        <v>1.6150038435851275</v>
      </c>
    </row>
    <row r="1774" spans="1:11" x14ac:dyDescent="0.35">
      <c r="A1774" s="6" t="s">
        <v>9</v>
      </c>
      <c r="B1774" s="6">
        <v>1771</v>
      </c>
      <c r="C1774" s="6">
        <v>294</v>
      </c>
      <c r="D1774" s="17">
        <v>69.099999999999994</v>
      </c>
      <c r="E1774" s="1">
        <f t="shared" si="162"/>
        <v>-0.88888888888888773</v>
      </c>
      <c r="F1774">
        <f t="shared" si="163"/>
        <v>0</v>
      </c>
      <c r="G1774">
        <f t="shared" si="164"/>
        <v>643.1348869970742</v>
      </c>
      <c r="I1774">
        <f t="shared" si="165"/>
        <v>5.5555555555555556E-4</v>
      </c>
      <c r="J1774">
        <f t="shared" si="166"/>
        <v>0</v>
      </c>
      <c r="K1774">
        <f t="shared" si="167"/>
        <v>1.5435237287929782</v>
      </c>
    </row>
    <row r="1775" spans="1:11" x14ac:dyDescent="0.35">
      <c r="A1775" s="6" t="s">
        <v>9</v>
      </c>
      <c r="B1775" s="6">
        <v>1772</v>
      </c>
      <c r="C1775" s="6">
        <v>295</v>
      </c>
      <c r="D1775" s="17">
        <v>65.900000000000006</v>
      </c>
      <c r="E1775" s="1">
        <f t="shared" si="162"/>
        <v>-0.88888888888888773</v>
      </c>
      <c r="F1775">
        <f t="shared" si="163"/>
        <v>0</v>
      </c>
      <c r="G1775">
        <f t="shared" si="164"/>
        <v>613.35150583367863</v>
      </c>
      <c r="I1775">
        <f t="shared" si="165"/>
        <v>5.5555555555555556E-4</v>
      </c>
      <c r="J1775">
        <f t="shared" si="166"/>
        <v>0</v>
      </c>
      <c r="K1775">
        <f t="shared" si="167"/>
        <v>1.4720436140008286</v>
      </c>
    </row>
    <row r="1776" spans="1:11" x14ac:dyDescent="0.35">
      <c r="A1776" s="6" t="s">
        <v>9</v>
      </c>
      <c r="B1776" s="6">
        <v>1773</v>
      </c>
      <c r="C1776" s="6">
        <v>296</v>
      </c>
      <c r="D1776" s="17">
        <v>62.7</v>
      </c>
      <c r="E1776" s="1">
        <f t="shared" si="162"/>
        <v>-0.86111111111111149</v>
      </c>
      <c r="F1776">
        <f t="shared" si="163"/>
        <v>0</v>
      </c>
      <c r="G1776">
        <f t="shared" si="164"/>
        <v>583.56812467028294</v>
      </c>
      <c r="I1776">
        <f t="shared" si="165"/>
        <v>5.5555555555555556E-4</v>
      </c>
      <c r="J1776">
        <f t="shared" si="166"/>
        <v>0</v>
      </c>
      <c r="K1776">
        <f t="shared" si="167"/>
        <v>1.4005634992086793</v>
      </c>
    </row>
    <row r="1777" spans="1:11" x14ac:dyDescent="0.35">
      <c r="A1777" s="6" t="s">
        <v>9</v>
      </c>
      <c r="B1777" s="6">
        <v>1774</v>
      </c>
      <c r="C1777" s="6">
        <v>297</v>
      </c>
      <c r="D1777" s="17">
        <v>59.7</v>
      </c>
      <c r="E1777" s="1">
        <f t="shared" si="162"/>
        <v>-0.79166666666666707</v>
      </c>
      <c r="F1777">
        <f t="shared" si="163"/>
        <v>0</v>
      </c>
      <c r="G1777">
        <f t="shared" si="164"/>
        <v>555.64620482959958</v>
      </c>
      <c r="I1777">
        <f t="shared" si="165"/>
        <v>5.5555555555555556E-4</v>
      </c>
      <c r="J1777">
        <f t="shared" si="166"/>
        <v>0</v>
      </c>
      <c r="K1777">
        <f t="shared" si="167"/>
        <v>1.333550891591039</v>
      </c>
    </row>
    <row r="1778" spans="1:11" x14ac:dyDescent="0.35">
      <c r="A1778" s="6" t="s">
        <v>9</v>
      </c>
      <c r="B1778" s="6">
        <v>1775</v>
      </c>
      <c r="C1778" s="6">
        <v>298</v>
      </c>
      <c r="D1778" s="17">
        <v>57</v>
      </c>
      <c r="E1778" s="1">
        <f t="shared" si="162"/>
        <v>-0.70833333333333348</v>
      </c>
      <c r="F1778">
        <f t="shared" si="163"/>
        <v>0</v>
      </c>
      <c r="G1778">
        <f t="shared" si="164"/>
        <v>530.51647697298449</v>
      </c>
      <c r="I1778">
        <f t="shared" si="165"/>
        <v>5.5555555555555556E-4</v>
      </c>
      <c r="J1778">
        <f t="shared" si="166"/>
        <v>0</v>
      </c>
      <c r="K1778">
        <f t="shared" si="167"/>
        <v>1.2732395447351628</v>
      </c>
    </row>
    <row r="1779" spans="1:11" x14ac:dyDescent="0.35">
      <c r="A1779" s="6" t="s">
        <v>9</v>
      </c>
      <c r="B1779" s="6">
        <v>1776</v>
      </c>
      <c r="C1779" s="6">
        <v>299</v>
      </c>
      <c r="D1779" s="17">
        <v>54.6</v>
      </c>
      <c r="E1779" s="1">
        <f t="shared" si="162"/>
        <v>-0.6666666666666663</v>
      </c>
      <c r="F1779">
        <f t="shared" si="163"/>
        <v>0</v>
      </c>
      <c r="G1779">
        <f t="shared" si="164"/>
        <v>508.17894110043778</v>
      </c>
      <c r="I1779">
        <f t="shared" si="165"/>
        <v>5.5555555555555556E-4</v>
      </c>
      <c r="J1779">
        <f t="shared" si="166"/>
        <v>0</v>
      </c>
      <c r="K1779">
        <f t="shared" si="167"/>
        <v>1.2196294586410508</v>
      </c>
    </row>
    <row r="1780" spans="1:11" x14ac:dyDescent="0.35">
      <c r="A1780" s="6" t="s">
        <v>9</v>
      </c>
      <c r="B1780" s="6">
        <v>1777</v>
      </c>
      <c r="C1780" s="6">
        <v>300</v>
      </c>
      <c r="D1780" s="17">
        <v>52.2</v>
      </c>
      <c r="E1780" s="1">
        <f t="shared" si="162"/>
        <v>-0.68055555555555536</v>
      </c>
      <c r="F1780">
        <f t="shared" si="163"/>
        <v>0</v>
      </c>
      <c r="G1780">
        <f t="shared" si="164"/>
        <v>485.84140522789107</v>
      </c>
      <c r="I1780">
        <f t="shared" si="165"/>
        <v>5.5555555555555556E-4</v>
      </c>
      <c r="J1780">
        <f t="shared" si="166"/>
        <v>0</v>
      </c>
      <c r="K1780">
        <f t="shared" si="167"/>
        <v>1.1660193725469385</v>
      </c>
    </row>
    <row r="1781" spans="1:11" x14ac:dyDescent="0.35">
      <c r="A1781" s="6" t="s">
        <v>9</v>
      </c>
      <c r="B1781" s="6">
        <v>1778</v>
      </c>
      <c r="C1781" s="6">
        <v>301</v>
      </c>
      <c r="D1781" s="17">
        <v>49.7</v>
      </c>
      <c r="E1781" s="1">
        <f t="shared" si="162"/>
        <v>-0.75000000000000078</v>
      </c>
      <c r="F1781">
        <f t="shared" si="163"/>
        <v>0</v>
      </c>
      <c r="G1781">
        <f t="shared" si="164"/>
        <v>462.57313869398826</v>
      </c>
      <c r="I1781">
        <f t="shared" si="165"/>
        <v>5.5555555555555556E-4</v>
      </c>
      <c r="J1781">
        <f t="shared" si="166"/>
        <v>0</v>
      </c>
      <c r="K1781">
        <f t="shared" si="167"/>
        <v>1.1101755328655718</v>
      </c>
    </row>
    <row r="1782" spans="1:11" x14ac:dyDescent="0.35">
      <c r="A1782" s="6" t="s">
        <v>9</v>
      </c>
      <c r="B1782" s="6">
        <v>1779</v>
      </c>
      <c r="C1782" s="6">
        <v>302</v>
      </c>
      <c r="D1782" s="17">
        <v>46.8</v>
      </c>
      <c r="E1782" s="1">
        <f t="shared" si="162"/>
        <v>-0.86111111111111149</v>
      </c>
      <c r="F1782">
        <f t="shared" si="163"/>
        <v>0</v>
      </c>
      <c r="G1782">
        <f t="shared" si="164"/>
        <v>435.58194951466095</v>
      </c>
      <c r="I1782">
        <f t="shared" si="165"/>
        <v>5.5555555555555556E-4</v>
      </c>
      <c r="J1782">
        <f t="shared" si="166"/>
        <v>0</v>
      </c>
      <c r="K1782">
        <f t="shared" si="167"/>
        <v>1.0453966788351863</v>
      </c>
    </row>
    <row r="1783" spans="1:11" x14ac:dyDescent="0.35">
      <c r="A1783" s="6" t="s">
        <v>9</v>
      </c>
      <c r="B1783" s="6">
        <v>1780</v>
      </c>
      <c r="C1783" s="6">
        <v>303</v>
      </c>
      <c r="D1783" s="17">
        <v>43.5</v>
      </c>
      <c r="E1783" s="1">
        <f t="shared" si="162"/>
        <v>-0.95833333333333315</v>
      </c>
      <c r="F1783">
        <f t="shared" si="163"/>
        <v>0</v>
      </c>
      <c r="G1783">
        <f t="shared" si="164"/>
        <v>404.86783768990921</v>
      </c>
      <c r="I1783">
        <f t="shared" si="165"/>
        <v>5.5555555555555556E-4</v>
      </c>
      <c r="J1783">
        <f t="shared" si="166"/>
        <v>0</v>
      </c>
      <c r="K1783">
        <f t="shared" si="167"/>
        <v>0.9716828104557822</v>
      </c>
    </row>
    <row r="1784" spans="1:11" x14ac:dyDescent="0.35">
      <c r="A1784" s="6" t="s">
        <v>9</v>
      </c>
      <c r="B1784" s="6">
        <v>1781</v>
      </c>
      <c r="C1784" s="6">
        <v>304</v>
      </c>
      <c r="D1784" s="17">
        <v>39.9</v>
      </c>
      <c r="E1784" s="1">
        <f t="shared" si="162"/>
        <v>-0.98611111111111127</v>
      </c>
      <c r="F1784">
        <f t="shared" si="163"/>
        <v>0</v>
      </c>
      <c r="G1784">
        <f t="shared" si="164"/>
        <v>371.36153388108914</v>
      </c>
      <c r="I1784">
        <f t="shared" si="165"/>
        <v>5.5555555555555556E-4</v>
      </c>
      <c r="J1784">
        <f t="shared" si="166"/>
        <v>0</v>
      </c>
      <c r="K1784">
        <f t="shared" si="167"/>
        <v>0.89126768131461409</v>
      </c>
    </row>
    <row r="1785" spans="1:11" x14ac:dyDescent="0.35">
      <c r="A1785" s="6" t="s">
        <v>9</v>
      </c>
      <c r="B1785" s="6">
        <v>1782</v>
      </c>
      <c r="C1785" s="6">
        <v>305</v>
      </c>
      <c r="D1785" s="17">
        <v>36.4</v>
      </c>
      <c r="E1785" s="1">
        <f t="shared" si="162"/>
        <v>-0.93055555555555491</v>
      </c>
      <c r="F1785">
        <f t="shared" si="163"/>
        <v>0</v>
      </c>
      <c r="G1785">
        <f t="shared" si="164"/>
        <v>338.78596073362519</v>
      </c>
      <c r="I1785">
        <f t="shared" si="165"/>
        <v>5.5555555555555556E-4</v>
      </c>
      <c r="J1785">
        <f t="shared" si="166"/>
        <v>0</v>
      </c>
      <c r="K1785">
        <f t="shared" si="167"/>
        <v>0.8130863057607004</v>
      </c>
    </row>
    <row r="1786" spans="1:11" x14ac:dyDescent="0.35">
      <c r="A1786" s="6" t="s">
        <v>9</v>
      </c>
      <c r="B1786" s="6">
        <v>1783</v>
      </c>
      <c r="C1786" s="6">
        <v>306</v>
      </c>
      <c r="D1786" s="17">
        <v>33.200000000000003</v>
      </c>
      <c r="E1786" s="1">
        <f t="shared" si="162"/>
        <v>-0.8194444444444442</v>
      </c>
      <c r="F1786">
        <f t="shared" si="163"/>
        <v>0</v>
      </c>
      <c r="G1786">
        <f t="shared" si="164"/>
        <v>309.00257957022961</v>
      </c>
      <c r="I1786">
        <f t="shared" si="165"/>
        <v>5.5555555555555556E-4</v>
      </c>
      <c r="J1786">
        <f t="shared" si="166"/>
        <v>0</v>
      </c>
      <c r="K1786">
        <f t="shared" si="167"/>
        <v>0.74160619096855107</v>
      </c>
    </row>
    <row r="1787" spans="1:11" x14ac:dyDescent="0.35">
      <c r="A1787" s="6" t="s">
        <v>9</v>
      </c>
      <c r="B1787" s="6">
        <v>1784</v>
      </c>
      <c r="C1787" s="6">
        <v>307</v>
      </c>
      <c r="D1787" s="17">
        <v>30.5</v>
      </c>
      <c r="E1787" s="1">
        <f t="shared" si="162"/>
        <v>-0.6805555555555558</v>
      </c>
      <c r="F1787">
        <f t="shared" si="163"/>
        <v>0</v>
      </c>
      <c r="G1787">
        <f t="shared" si="164"/>
        <v>283.87285171361452</v>
      </c>
      <c r="I1787">
        <f t="shared" si="165"/>
        <v>5.5555555555555556E-4</v>
      </c>
      <c r="J1787">
        <f t="shared" si="166"/>
        <v>0</v>
      </c>
      <c r="K1787">
        <f t="shared" si="167"/>
        <v>0.68129484411267494</v>
      </c>
    </row>
    <row r="1788" spans="1:11" x14ac:dyDescent="0.35">
      <c r="A1788" s="6" t="s">
        <v>9</v>
      </c>
      <c r="B1788" s="6">
        <v>1785</v>
      </c>
      <c r="C1788" s="6">
        <v>308</v>
      </c>
      <c r="D1788" s="17">
        <v>28.3</v>
      </c>
      <c r="E1788" s="1">
        <f t="shared" si="162"/>
        <v>-0.58333333333333326</v>
      </c>
      <c r="F1788">
        <f t="shared" si="163"/>
        <v>0</v>
      </c>
      <c r="G1788">
        <f t="shared" si="164"/>
        <v>263.39677716378003</v>
      </c>
      <c r="I1788">
        <f t="shared" si="165"/>
        <v>5.5555555555555556E-4</v>
      </c>
      <c r="J1788">
        <f t="shared" si="166"/>
        <v>0</v>
      </c>
      <c r="K1788">
        <f t="shared" si="167"/>
        <v>0.6321522651930721</v>
      </c>
    </row>
    <row r="1789" spans="1:11" x14ac:dyDescent="0.35">
      <c r="A1789" s="6" t="s">
        <v>9</v>
      </c>
      <c r="B1789" s="6">
        <v>1786</v>
      </c>
      <c r="C1789" s="6">
        <v>309</v>
      </c>
      <c r="D1789" s="17">
        <v>26.3</v>
      </c>
      <c r="E1789" s="1">
        <f t="shared" si="162"/>
        <v>-0.54166666666666696</v>
      </c>
      <c r="F1789">
        <f t="shared" si="163"/>
        <v>0</v>
      </c>
      <c r="G1789">
        <f t="shared" si="164"/>
        <v>244.78216393665775</v>
      </c>
      <c r="I1789">
        <f t="shared" si="165"/>
        <v>5.5555555555555556E-4</v>
      </c>
      <c r="J1789">
        <f t="shared" si="166"/>
        <v>0</v>
      </c>
      <c r="K1789">
        <f t="shared" si="167"/>
        <v>0.58747719344797855</v>
      </c>
    </row>
    <row r="1790" spans="1:11" x14ac:dyDescent="0.35">
      <c r="A1790" s="6" t="s">
        <v>9</v>
      </c>
      <c r="B1790" s="6">
        <v>1787</v>
      </c>
      <c r="C1790" s="6">
        <v>310</v>
      </c>
      <c r="D1790" s="17">
        <v>24.4</v>
      </c>
      <c r="E1790" s="1">
        <f t="shared" si="162"/>
        <v>-0.5277777777777779</v>
      </c>
      <c r="F1790">
        <f t="shared" si="163"/>
        <v>0</v>
      </c>
      <c r="G1790">
        <f t="shared" si="164"/>
        <v>227.09828137089161</v>
      </c>
      <c r="I1790">
        <f t="shared" si="165"/>
        <v>5.5555555555555556E-4</v>
      </c>
      <c r="J1790">
        <f t="shared" si="166"/>
        <v>0</v>
      </c>
      <c r="K1790">
        <f t="shared" si="167"/>
        <v>0.54503587529013986</v>
      </c>
    </row>
    <row r="1791" spans="1:11" x14ac:dyDescent="0.35">
      <c r="A1791" s="6" t="s">
        <v>9</v>
      </c>
      <c r="B1791" s="6">
        <v>1788</v>
      </c>
      <c r="C1791" s="6">
        <v>311</v>
      </c>
      <c r="D1791" s="17">
        <v>22.5</v>
      </c>
      <c r="E1791" s="1">
        <f t="shared" si="162"/>
        <v>-0.54166666666666641</v>
      </c>
      <c r="F1791">
        <f t="shared" si="163"/>
        <v>0</v>
      </c>
      <c r="G1791">
        <f t="shared" si="164"/>
        <v>209.41439880512547</v>
      </c>
      <c r="I1791">
        <f t="shared" si="165"/>
        <v>5.5555555555555556E-4</v>
      </c>
      <c r="J1791">
        <f t="shared" si="166"/>
        <v>0</v>
      </c>
      <c r="K1791">
        <f t="shared" si="167"/>
        <v>0.50259455713230117</v>
      </c>
    </row>
    <row r="1792" spans="1:11" x14ac:dyDescent="0.35">
      <c r="A1792" s="6" t="s">
        <v>9</v>
      </c>
      <c r="B1792" s="6">
        <v>1789</v>
      </c>
      <c r="C1792" s="6">
        <v>312</v>
      </c>
      <c r="D1792" s="17">
        <v>20.5</v>
      </c>
      <c r="E1792" s="1">
        <f t="shared" si="162"/>
        <v>-0.59722222222222232</v>
      </c>
      <c r="F1792">
        <f t="shared" si="163"/>
        <v>0</v>
      </c>
      <c r="G1792">
        <f t="shared" si="164"/>
        <v>190.7997855780032</v>
      </c>
      <c r="I1792">
        <f t="shared" si="165"/>
        <v>5.5555555555555556E-4</v>
      </c>
      <c r="J1792">
        <f t="shared" si="166"/>
        <v>0</v>
      </c>
      <c r="K1792">
        <f t="shared" si="167"/>
        <v>0.45791948538720773</v>
      </c>
    </row>
    <row r="1793" spans="1:11" x14ac:dyDescent="0.35">
      <c r="A1793" s="6" t="s">
        <v>9</v>
      </c>
      <c r="B1793" s="6">
        <v>1790</v>
      </c>
      <c r="C1793" s="6">
        <v>313</v>
      </c>
      <c r="D1793" s="17">
        <v>18.2</v>
      </c>
      <c r="E1793" s="1">
        <f t="shared" si="162"/>
        <v>-0.69444444444444442</v>
      </c>
      <c r="F1793">
        <f t="shared" si="163"/>
        <v>0</v>
      </c>
      <c r="G1793">
        <f t="shared" si="164"/>
        <v>169.39298036681259</v>
      </c>
      <c r="I1793">
        <f t="shared" si="165"/>
        <v>5.5555555555555556E-4</v>
      </c>
      <c r="J1793">
        <f t="shared" si="166"/>
        <v>0</v>
      </c>
      <c r="K1793">
        <f t="shared" si="167"/>
        <v>0.4065431528803502</v>
      </c>
    </row>
    <row r="1794" spans="1:11" x14ac:dyDescent="0.35">
      <c r="A1794" s="6" t="s">
        <v>9</v>
      </c>
      <c r="B1794" s="6">
        <v>1791</v>
      </c>
      <c r="C1794" s="6">
        <v>314</v>
      </c>
      <c r="D1794" s="17">
        <v>15.5</v>
      </c>
      <c r="E1794" s="1">
        <f t="shared" si="162"/>
        <v>-0.8194444444444442</v>
      </c>
      <c r="F1794">
        <f t="shared" si="163"/>
        <v>0</v>
      </c>
      <c r="G1794">
        <f t="shared" si="164"/>
        <v>144.26325251019753</v>
      </c>
      <c r="I1794">
        <f t="shared" si="165"/>
        <v>5.5555555555555556E-4</v>
      </c>
      <c r="J1794">
        <f t="shared" si="166"/>
        <v>0</v>
      </c>
      <c r="K1794">
        <f t="shared" si="167"/>
        <v>0.34623180602447406</v>
      </c>
    </row>
    <row r="1795" spans="1:11" x14ac:dyDescent="0.35">
      <c r="A1795" s="6" t="s">
        <v>9</v>
      </c>
      <c r="B1795" s="6">
        <v>1792</v>
      </c>
      <c r="C1795" s="6">
        <v>315</v>
      </c>
      <c r="D1795" s="17">
        <v>12.3</v>
      </c>
      <c r="E1795" s="1">
        <f t="shared" si="162"/>
        <v>-0.94444444444444453</v>
      </c>
      <c r="F1795">
        <f t="shared" si="163"/>
        <v>0</v>
      </c>
      <c r="G1795">
        <f t="shared" si="164"/>
        <v>114.47987134680191</v>
      </c>
      <c r="I1795">
        <f t="shared" si="165"/>
        <v>5.5555555555555556E-4</v>
      </c>
      <c r="J1795">
        <f t="shared" si="166"/>
        <v>0</v>
      </c>
      <c r="K1795">
        <f t="shared" si="167"/>
        <v>0.27475169123232462</v>
      </c>
    </row>
    <row r="1796" spans="1:11" x14ac:dyDescent="0.35">
      <c r="A1796" s="6" t="s">
        <v>9</v>
      </c>
      <c r="B1796" s="6">
        <v>1793</v>
      </c>
      <c r="C1796" s="6">
        <v>316</v>
      </c>
      <c r="D1796" s="17">
        <v>8.6999999999999993</v>
      </c>
      <c r="E1796" s="1">
        <f t="shared" si="162"/>
        <v>-0.98611111111111116</v>
      </c>
      <c r="F1796">
        <f t="shared" si="163"/>
        <v>0</v>
      </c>
      <c r="G1796">
        <f t="shared" si="164"/>
        <v>80.97356753798185</v>
      </c>
      <c r="I1796">
        <f t="shared" si="165"/>
        <v>5.5555555555555556E-4</v>
      </c>
      <c r="J1796">
        <f t="shared" si="166"/>
        <v>0</v>
      </c>
      <c r="K1796">
        <f t="shared" si="167"/>
        <v>0.19433656209115646</v>
      </c>
    </row>
    <row r="1797" spans="1:11" x14ac:dyDescent="0.35">
      <c r="A1797" s="6" t="s">
        <v>9</v>
      </c>
      <c r="B1797" s="6">
        <v>1794</v>
      </c>
      <c r="C1797" s="6">
        <v>317</v>
      </c>
      <c r="D1797" s="17">
        <v>5.2</v>
      </c>
      <c r="E1797" s="1">
        <f t="shared" ref="E1797:E1803" si="168">($D1798-$D1796)/2/3.6</f>
        <v>-1.2083333333333333</v>
      </c>
      <c r="F1797">
        <f t="shared" ref="F1797:F1803" si="169">IF(D1797=0,0,MAX(0,0.285*(1600*E1797 + 1600*9.81*0.015 + 0.5*1.225*0.32*2.2*(D1797/3.6)^2)))</f>
        <v>0</v>
      </c>
      <c r="G1797">
        <f t="shared" ref="G1797:G1803" si="170">60*D1797/(2*PI()*3.6*0.285)</f>
        <v>48.397994390517887</v>
      </c>
      <c r="I1797">
        <f t="shared" ref="I1797:I1803" si="171">1/1800</f>
        <v>5.5555555555555556E-4</v>
      </c>
      <c r="J1797">
        <f t="shared" ref="J1797:J1803" si="172">F1797/(M$3*3.6)</f>
        <v>0</v>
      </c>
      <c r="K1797">
        <f t="shared" ref="K1797:K1803" si="173">G1797*3.6/N$3</f>
        <v>0.11615518653724292</v>
      </c>
    </row>
    <row r="1798" spans="1:11" x14ac:dyDescent="0.35">
      <c r="A1798" s="6" t="s">
        <v>9</v>
      </c>
      <c r="B1798" s="6">
        <v>1795</v>
      </c>
      <c r="C1798" s="6">
        <v>318</v>
      </c>
      <c r="D1798" s="17">
        <v>0</v>
      </c>
      <c r="E1798" s="1">
        <f t="shared" si="168"/>
        <v>-0.72222222222222221</v>
      </c>
      <c r="F1798">
        <f t="shared" si="169"/>
        <v>0</v>
      </c>
      <c r="G1798">
        <f t="shared" si="170"/>
        <v>0</v>
      </c>
      <c r="I1798">
        <f t="shared" si="171"/>
        <v>5.5555555555555556E-4</v>
      </c>
      <c r="J1798">
        <f t="shared" si="172"/>
        <v>0</v>
      </c>
      <c r="K1798">
        <f t="shared" si="173"/>
        <v>0</v>
      </c>
    </row>
    <row r="1799" spans="1:11" x14ac:dyDescent="0.35">
      <c r="A1799" s="6" t="s">
        <v>9</v>
      </c>
      <c r="B1799" s="6">
        <v>1796</v>
      </c>
      <c r="C1799" s="6">
        <v>319</v>
      </c>
      <c r="D1799" s="17">
        <v>0</v>
      </c>
      <c r="E1799" s="1">
        <f t="shared" si="168"/>
        <v>0</v>
      </c>
      <c r="F1799">
        <f t="shared" si="169"/>
        <v>0</v>
      </c>
      <c r="G1799">
        <f t="shared" si="170"/>
        <v>0</v>
      </c>
      <c r="I1799">
        <f t="shared" si="171"/>
        <v>5.5555555555555556E-4</v>
      </c>
      <c r="J1799">
        <f t="shared" si="172"/>
        <v>0</v>
      </c>
      <c r="K1799">
        <f t="shared" si="173"/>
        <v>0</v>
      </c>
    </row>
    <row r="1800" spans="1:11" x14ac:dyDescent="0.35">
      <c r="A1800" s="6" t="s">
        <v>9</v>
      </c>
      <c r="B1800" s="6">
        <v>1797</v>
      </c>
      <c r="C1800" s="6">
        <v>320</v>
      </c>
      <c r="D1800" s="17">
        <v>0</v>
      </c>
      <c r="E1800" s="1">
        <f t="shared" si="168"/>
        <v>0</v>
      </c>
      <c r="F1800">
        <f t="shared" si="169"/>
        <v>0</v>
      </c>
      <c r="G1800">
        <f t="shared" si="170"/>
        <v>0</v>
      </c>
      <c r="I1800">
        <f t="shared" si="171"/>
        <v>5.5555555555555556E-4</v>
      </c>
      <c r="J1800">
        <f t="shared" si="172"/>
        <v>0</v>
      </c>
      <c r="K1800">
        <f t="shared" si="173"/>
        <v>0</v>
      </c>
    </row>
    <row r="1801" spans="1:11" x14ac:dyDescent="0.35">
      <c r="A1801" s="6" t="s">
        <v>9</v>
      </c>
      <c r="B1801" s="6">
        <v>1798</v>
      </c>
      <c r="C1801" s="6">
        <v>321</v>
      </c>
      <c r="D1801" s="17">
        <v>0</v>
      </c>
      <c r="E1801" s="1">
        <f t="shared" si="168"/>
        <v>0</v>
      </c>
      <c r="F1801">
        <f t="shared" si="169"/>
        <v>0</v>
      </c>
      <c r="G1801">
        <f t="shared" si="170"/>
        <v>0</v>
      </c>
      <c r="I1801">
        <f t="shared" si="171"/>
        <v>5.5555555555555556E-4</v>
      </c>
      <c r="J1801">
        <f t="shared" si="172"/>
        <v>0</v>
      </c>
      <c r="K1801">
        <f t="shared" si="173"/>
        <v>0</v>
      </c>
    </row>
    <row r="1802" spans="1:11" x14ac:dyDescent="0.35">
      <c r="A1802" s="6" t="s">
        <v>9</v>
      </c>
      <c r="B1802" s="6">
        <v>1799</v>
      </c>
      <c r="C1802" s="6">
        <v>322</v>
      </c>
      <c r="D1802" s="17">
        <v>0</v>
      </c>
      <c r="E1802" s="1">
        <f t="shared" si="168"/>
        <v>0</v>
      </c>
      <c r="F1802">
        <f t="shared" si="169"/>
        <v>0</v>
      </c>
      <c r="G1802">
        <f t="shared" si="170"/>
        <v>0</v>
      </c>
      <c r="I1802">
        <f t="shared" si="171"/>
        <v>5.5555555555555556E-4</v>
      </c>
      <c r="J1802">
        <f t="shared" si="172"/>
        <v>0</v>
      </c>
      <c r="K1802">
        <f t="shared" si="173"/>
        <v>0</v>
      </c>
    </row>
    <row r="1803" spans="1:11" x14ac:dyDescent="0.35">
      <c r="A1803" s="6" t="s">
        <v>9</v>
      </c>
      <c r="B1803" s="6">
        <v>1800</v>
      </c>
      <c r="C1803" s="6">
        <v>323</v>
      </c>
      <c r="D1803" s="17">
        <v>0</v>
      </c>
      <c r="E1803" s="1">
        <f t="shared" si="168"/>
        <v>0</v>
      </c>
      <c r="F1803">
        <f t="shared" si="169"/>
        <v>0</v>
      </c>
      <c r="G1803">
        <f t="shared" si="170"/>
        <v>0</v>
      </c>
      <c r="I1803">
        <f t="shared" si="171"/>
        <v>5.5555555555555556E-4</v>
      </c>
      <c r="J1803">
        <f t="shared" si="172"/>
        <v>0</v>
      </c>
      <c r="K1803">
        <f t="shared" si="17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75A6-5C0F-4892-88A0-A6DFDC2C5327}">
  <dimension ref="A1"/>
  <sheetViews>
    <sheetView workbookViewId="0">
      <selection sqref="A1:C1048576"/>
    </sheetView>
  </sheetViews>
  <sheetFormatPr defaultRowHeight="14.5" x14ac:dyDescent="0.35"/>
  <cols>
    <col min="1" max="1" width="8.7265625" style="2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Tamashny Sag</dc:creator>
  <cp:lastModifiedBy>Tamashny Sag</cp:lastModifiedBy>
  <dcterms:created xsi:type="dcterms:W3CDTF">2015-06-05T18:19:34Z</dcterms:created>
  <dcterms:modified xsi:type="dcterms:W3CDTF">2026-03-01T09:20:58Z</dcterms:modified>
</cp:coreProperties>
</file>